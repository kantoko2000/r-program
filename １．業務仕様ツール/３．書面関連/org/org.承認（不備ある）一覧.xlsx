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ローカルツール\python\書面接続\"/>
    </mc:Choice>
  </mc:AlternateContent>
  <xr:revisionPtr revIDLastSave="0" documentId="13_ncr:1_{07F03383-33B3-42A4-A855-E78C50B50499}" xr6:coauthVersionLast="47" xr6:coauthVersionMax="47" xr10:uidLastSave="{00000000-0000-0000-0000-000000000000}"/>
  <bookViews>
    <workbookView xWindow="-120" yWindow="-120" windowWidth="29040" windowHeight="15720" xr2:uid="{297356D2-0AA1-4978-9B57-A15B8EA2FC7A}"/>
  </bookViews>
  <sheets>
    <sheet name="承認（不備ある）一覧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S307" i="1" l="1"/>
  <c r="ET307" i="1" s="1"/>
  <c r="ER307" i="1"/>
  <c r="EQ307" i="1"/>
  <c r="EP307" i="1"/>
  <c r="EO307" i="1"/>
  <c r="EM307" i="1"/>
  <c r="EL307" i="1"/>
  <c r="EK307" i="1"/>
  <c r="EJ307" i="1"/>
  <c r="EI307" i="1"/>
  <c r="EH307" i="1"/>
  <c r="EG307" i="1"/>
  <c r="EF307" i="1"/>
  <c r="ES306" i="1"/>
  <c r="ET306" i="1" s="1"/>
  <c r="ER306" i="1"/>
  <c r="EQ306" i="1"/>
  <c r="EP306" i="1"/>
  <c r="EO306" i="1"/>
  <c r="EN306" i="1"/>
  <c r="EM306" i="1"/>
  <c r="EL306" i="1"/>
  <c r="EK306" i="1"/>
  <c r="EJ306" i="1"/>
  <c r="EI306" i="1"/>
  <c r="EH306" i="1"/>
  <c r="EG306" i="1"/>
  <c r="EF306" i="1"/>
  <c r="ES305" i="1"/>
  <c r="ET305" i="1" s="1"/>
  <c r="ER305" i="1"/>
  <c r="EQ305" i="1"/>
  <c r="EP305" i="1"/>
  <c r="EO305" i="1"/>
  <c r="EM305" i="1"/>
  <c r="EL305" i="1"/>
  <c r="EK305" i="1"/>
  <c r="EJ305" i="1"/>
  <c r="EI305" i="1"/>
  <c r="EH305" i="1"/>
  <c r="EG305" i="1"/>
  <c r="EF305" i="1"/>
  <c r="ES304" i="1"/>
  <c r="ET304" i="1" s="1"/>
  <c r="ER304" i="1"/>
  <c r="EQ304" i="1"/>
  <c r="EP304" i="1"/>
  <c r="EO304" i="1"/>
  <c r="EM304" i="1"/>
  <c r="EL304" i="1"/>
  <c r="EK304" i="1"/>
  <c r="EJ304" i="1"/>
  <c r="EI304" i="1"/>
  <c r="EH304" i="1"/>
  <c r="EG304" i="1"/>
  <c r="EF304" i="1"/>
  <c r="ES303" i="1"/>
  <c r="ET303" i="1" s="1"/>
  <c r="ER303" i="1"/>
  <c r="EQ303" i="1"/>
  <c r="EP303" i="1"/>
  <c r="EO303" i="1"/>
  <c r="EM303" i="1"/>
  <c r="EL303" i="1"/>
  <c r="EK303" i="1"/>
  <c r="EJ303" i="1"/>
  <c r="EI303" i="1"/>
  <c r="EH303" i="1"/>
  <c r="EG303" i="1"/>
  <c r="EF303" i="1"/>
  <c r="EN303" i="1" s="1"/>
  <c r="ES302" i="1"/>
  <c r="ET302" i="1" s="1"/>
  <c r="ER302" i="1"/>
  <c r="EQ302" i="1"/>
  <c r="EP302" i="1"/>
  <c r="EO302" i="1"/>
  <c r="EM302" i="1"/>
  <c r="EL302" i="1"/>
  <c r="EK302" i="1"/>
  <c r="EJ302" i="1"/>
  <c r="EN302" i="1" s="1"/>
  <c r="EI302" i="1"/>
  <c r="EH302" i="1"/>
  <c r="EG302" i="1"/>
  <c r="EF302" i="1"/>
  <c r="ES301" i="1"/>
  <c r="ET301" i="1" s="1"/>
  <c r="ER301" i="1"/>
  <c r="EQ301" i="1"/>
  <c r="EP301" i="1"/>
  <c r="EO301" i="1"/>
  <c r="EM301" i="1"/>
  <c r="EL301" i="1"/>
  <c r="EK301" i="1"/>
  <c r="EJ301" i="1"/>
  <c r="EI301" i="1"/>
  <c r="EH301" i="1"/>
  <c r="EG301" i="1"/>
  <c r="EF301" i="1"/>
  <c r="ES300" i="1"/>
  <c r="ET300" i="1" s="1"/>
  <c r="ER300" i="1"/>
  <c r="EQ300" i="1"/>
  <c r="EP300" i="1"/>
  <c r="EO300" i="1"/>
  <c r="EM300" i="1"/>
  <c r="EL300" i="1"/>
  <c r="EK300" i="1"/>
  <c r="EJ300" i="1"/>
  <c r="EN300" i="1" s="1"/>
  <c r="EI300" i="1"/>
  <c r="EH300" i="1"/>
  <c r="EG300" i="1"/>
  <c r="EF300" i="1"/>
  <c r="ES299" i="1"/>
  <c r="ET299" i="1" s="1"/>
  <c r="ER299" i="1"/>
  <c r="EQ299" i="1"/>
  <c r="EP299" i="1"/>
  <c r="EO299" i="1"/>
  <c r="EM299" i="1"/>
  <c r="EL299" i="1"/>
  <c r="EK299" i="1"/>
  <c r="EJ299" i="1"/>
  <c r="EI299" i="1"/>
  <c r="EH299" i="1"/>
  <c r="EG299" i="1"/>
  <c r="EF299" i="1"/>
  <c r="EN299" i="1" s="1"/>
  <c r="ET298" i="1"/>
  <c r="ES298" i="1"/>
  <c r="ER298" i="1"/>
  <c r="EQ298" i="1"/>
  <c r="EP298" i="1"/>
  <c r="EO298" i="1"/>
  <c r="EN298" i="1"/>
  <c r="EM298" i="1"/>
  <c r="EL298" i="1"/>
  <c r="EK298" i="1"/>
  <c r="EJ298" i="1"/>
  <c r="EI298" i="1"/>
  <c r="EH298" i="1"/>
  <c r="EG298" i="1"/>
  <c r="EF298" i="1"/>
  <c r="ES297" i="1"/>
  <c r="ET297" i="1" s="1"/>
  <c r="ER297" i="1"/>
  <c r="EQ297" i="1"/>
  <c r="EP297" i="1"/>
  <c r="EO297" i="1"/>
  <c r="EM297" i="1"/>
  <c r="EL297" i="1"/>
  <c r="EK297" i="1"/>
  <c r="EJ297" i="1"/>
  <c r="EI297" i="1"/>
  <c r="EH297" i="1"/>
  <c r="EG297" i="1"/>
  <c r="EF297" i="1"/>
  <c r="EN297" i="1" s="1"/>
  <c r="ES296" i="1"/>
  <c r="ET296" i="1" s="1"/>
  <c r="ER296" i="1"/>
  <c r="EQ296" i="1"/>
  <c r="EP296" i="1"/>
  <c r="EO296" i="1"/>
  <c r="EM296" i="1"/>
  <c r="EL296" i="1"/>
  <c r="EK296" i="1"/>
  <c r="EJ296" i="1"/>
  <c r="EI296" i="1"/>
  <c r="EH296" i="1"/>
  <c r="EG296" i="1"/>
  <c r="EF296" i="1"/>
  <c r="ES295" i="1"/>
  <c r="ET295" i="1" s="1"/>
  <c r="ER295" i="1"/>
  <c r="EQ295" i="1"/>
  <c r="EP295" i="1"/>
  <c r="EO295" i="1"/>
  <c r="EM295" i="1"/>
  <c r="EL295" i="1"/>
  <c r="EK295" i="1"/>
  <c r="EJ295" i="1"/>
  <c r="EI295" i="1"/>
  <c r="EH295" i="1"/>
  <c r="EG295" i="1"/>
  <c r="EF295" i="1"/>
  <c r="EN295" i="1" s="1"/>
  <c r="ES294" i="1"/>
  <c r="ET294" i="1" s="1"/>
  <c r="ER294" i="1"/>
  <c r="EQ294" i="1"/>
  <c r="EP294" i="1"/>
  <c r="EO294" i="1"/>
  <c r="EM294" i="1"/>
  <c r="EL294" i="1"/>
  <c r="EK294" i="1"/>
  <c r="EJ294" i="1"/>
  <c r="EI294" i="1"/>
  <c r="EH294" i="1"/>
  <c r="EG294" i="1"/>
  <c r="EF294" i="1"/>
  <c r="EN294" i="1" s="1"/>
  <c r="ES293" i="1"/>
  <c r="ET293" i="1" s="1"/>
  <c r="ER293" i="1"/>
  <c r="EQ293" i="1"/>
  <c r="EP293" i="1"/>
  <c r="EO293" i="1"/>
  <c r="EM293" i="1"/>
  <c r="EL293" i="1"/>
  <c r="EK293" i="1"/>
  <c r="EJ293" i="1"/>
  <c r="EI293" i="1"/>
  <c r="EH293" i="1"/>
  <c r="EG293" i="1"/>
  <c r="EF293" i="1"/>
  <c r="ET292" i="1"/>
  <c r="ES292" i="1"/>
  <c r="ER292" i="1"/>
  <c r="EQ292" i="1"/>
  <c r="EP292" i="1"/>
  <c r="EO292" i="1"/>
  <c r="EM292" i="1"/>
  <c r="EL292" i="1"/>
  <c r="EK292" i="1"/>
  <c r="EJ292" i="1"/>
  <c r="EI292" i="1"/>
  <c r="EH292" i="1"/>
  <c r="EG292" i="1"/>
  <c r="EF292" i="1"/>
  <c r="ES291" i="1"/>
  <c r="ET291" i="1" s="1"/>
  <c r="ER291" i="1"/>
  <c r="EQ291" i="1"/>
  <c r="EP291" i="1"/>
  <c r="EO291" i="1"/>
  <c r="EM291" i="1"/>
  <c r="EL291" i="1"/>
  <c r="EK291" i="1"/>
  <c r="EJ291" i="1"/>
  <c r="EI291" i="1"/>
  <c r="EH291" i="1"/>
  <c r="EG291" i="1"/>
  <c r="EF291" i="1"/>
  <c r="ES290" i="1"/>
  <c r="ET290" i="1" s="1"/>
  <c r="ER290" i="1"/>
  <c r="EQ290" i="1"/>
  <c r="EP290" i="1"/>
  <c r="EO290" i="1"/>
  <c r="EM290" i="1"/>
  <c r="EL290" i="1"/>
  <c r="EK290" i="1"/>
  <c r="EJ290" i="1"/>
  <c r="EI290" i="1"/>
  <c r="EH290" i="1"/>
  <c r="EG290" i="1"/>
  <c r="EF290" i="1"/>
  <c r="EN290" i="1" s="1"/>
  <c r="ES289" i="1"/>
  <c r="ET289" i="1" s="1"/>
  <c r="ER289" i="1"/>
  <c r="EQ289" i="1"/>
  <c r="EP289" i="1"/>
  <c r="EO289" i="1"/>
  <c r="EM289" i="1"/>
  <c r="EL289" i="1"/>
  <c r="EK289" i="1"/>
  <c r="EJ289" i="1"/>
  <c r="EI289" i="1"/>
  <c r="EH289" i="1"/>
  <c r="EG289" i="1"/>
  <c r="EF289" i="1"/>
  <c r="EN289" i="1" s="1"/>
  <c r="ET288" i="1"/>
  <c r="ES288" i="1"/>
  <c r="ER288" i="1"/>
  <c r="EQ288" i="1"/>
  <c r="EP288" i="1"/>
  <c r="EO288" i="1"/>
  <c r="EM288" i="1"/>
  <c r="EL288" i="1"/>
  <c r="EK288" i="1"/>
  <c r="EJ288" i="1"/>
  <c r="EN288" i="1" s="1"/>
  <c r="EI288" i="1"/>
  <c r="EH288" i="1"/>
  <c r="EG288" i="1"/>
  <c r="EF288" i="1"/>
  <c r="ES287" i="1"/>
  <c r="ET287" i="1" s="1"/>
  <c r="ER287" i="1"/>
  <c r="EQ287" i="1"/>
  <c r="EP287" i="1"/>
  <c r="EO287" i="1"/>
  <c r="EM287" i="1"/>
  <c r="EL287" i="1"/>
  <c r="EK287" i="1"/>
  <c r="EJ287" i="1"/>
  <c r="EI287" i="1"/>
  <c r="EH287" i="1"/>
  <c r="EG287" i="1"/>
  <c r="EF287" i="1"/>
  <c r="ES286" i="1"/>
  <c r="ET286" i="1" s="1"/>
  <c r="ER286" i="1"/>
  <c r="EQ286" i="1"/>
  <c r="EP286" i="1"/>
  <c r="EO286" i="1"/>
  <c r="EM286" i="1"/>
  <c r="EL286" i="1"/>
  <c r="EK286" i="1"/>
  <c r="EJ286" i="1"/>
  <c r="EN286" i="1" s="1"/>
  <c r="EI286" i="1"/>
  <c r="EH286" i="1"/>
  <c r="EG286" i="1"/>
  <c r="EF286" i="1"/>
  <c r="ES285" i="1"/>
  <c r="ET285" i="1" s="1"/>
  <c r="ER285" i="1"/>
  <c r="EQ285" i="1"/>
  <c r="EP285" i="1"/>
  <c r="EO285" i="1"/>
  <c r="EM285" i="1"/>
  <c r="EL285" i="1"/>
  <c r="EK285" i="1"/>
  <c r="EJ285" i="1"/>
  <c r="EI285" i="1"/>
  <c r="EH285" i="1"/>
  <c r="EG285" i="1"/>
  <c r="EF285" i="1"/>
  <c r="EN285" i="1" s="1"/>
  <c r="ET284" i="1"/>
  <c r="ES284" i="1"/>
  <c r="ER284" i="1"/>
  <c r="EQ284" i="1"/>
  <c r="EP284" i="1"/>
  <c r="EO284" i="1"/>
  <c r="EM284" i="1"/>
  <c r="EL284" i="1"/>
  <c r="EK284" i="1"/>
  <c r="EJ284" i="1"/>
  <c r="EN284" i="1" s="1"/>
  <c r="EI284" i="1"/>
  <c r="EH284" i="1"/>
  <c r="EG284" i="1"/>
  <c r="EF284" i="1"/>
  <c r="ES283" i="1"/>
  <c r="ET283" i="1" s="1"/>
  <c r="ER283" i="1"/>
  <c r="EQ283" i="1"/>
  <c r="EP283" i="1"/>
  <c r="EO283" i="1"/>
  <c r="EM283" i="1"/>
  <c r="EL283" i="1"/>
  <c r="EK283" i="1"/>
  <c r="EJ283" i="1"/>
  <c r="EI283" i="1"/>
  <c r="EH283" i="1"/>
  <c r="EG283" i="1"/>
  <c r="EF283" i="1"/>
  <c r="EN283" i="1" s="1"/>
  <c r="ES282" i="1"/>
  <c r="ET282" i="1" s="1"/>
  <c r="ER282" i="1"/>
  <c r="EQ282" i="1"/>
  <c r="EP282" i="1"/>
  <c r="EO282" i="1"/>
  <c r="EM282" i="1"/>
  <c r="EL282" i="1"/>
  <c r="EK282" i="1"/>
  <c r="EJ282" i="1"/>
  <c r="EI282" i="1"/>
  <c r="EH282" i="1"/>
  <c r="EG282" i="1"/>
  <c r="EF282" i="1"/>
  <c r="EN282" i="1" s="1"/>
  <c r="ES281" i="1"/>
  <c r="ET281" i="1" s="1"/>
  <c r="ER281" i="1"/>
  <c r="EQ281" i="1"/>
  <c r="EP281" i="1"/>
  <c r="EO281" i="1"/>
  <c r="EM281" i="1"/>
  <c r="EL281" i="1"/>
  <c r="EK281" i="1"/>
  <c r="EJ281" i="1"/>
  <c r="EI281" i="1"/>
  <c r="EH281" i="1"/>
  <c r="EG281" i="1"/>
  <c r="EF281" i="1"/>
  <c r="EN281" i="1" s="1"/>
  <c r="ET280" i="1"/>
  <c r="ES280" i="1"/>
  <c r="ER280" i="1"/>
  <c r="EQ280" i="1"/>
  <c r="EP280" i="1"/>
  <c r="EO280" i="1"/>
  <c r="EM280" i="1"/>
  <c r="EL280" i="1"/>
  <c r="EK280" i="1"/>
  <c r="EJ280" i="1"/>
  <c r="EN280" i="1" s="1"/>
  <c r="EI280" i="1"/>
  <c r="EH280" i="1"/>
  <c r="EG280" i="1"/>
  <c r="EF280" i="1"/>
  <c r="ES279" i="1"/>
  <c r="ET279" i="1" s="1"/>
  <c r="ER279" i="1"/>
  <c r="EQ279" i="1"/>
  <c r="EP279" i="1"/>
  <c r="EO279" i="1"/>
  <c r="EM279" i="1"/>
  <c r="EL279" i="1"/>
  <c r="EK279" i="1"/>
  <c r="EJ279" i="1"/>
  <c r="EI279" i="1"/>
  <c r="EH279" i="1"/>
  <c r="EG279" i="1"/>
  <c r="EF279" i="1"/>
  <c r="ES278" i="1"/>
  <c r="ET278" i="1" s="1"/>
  <c r="ER278" i="1"/>
  <c r="EQ278" i="1"/>
  <c r="EP278" i="1"/>
  <c r="EO278" i="1"/>
  <c r="EM278" i="1"/>
  <c r="EL278" i="1"/>
  <c r="EK278" i="1"/>
  <c r="EJ278" i="1"/>
  <c r="EN278" i="1" s="1"/>
  <c r="EI278" i="1"/>
  <c r="EH278" i="1"/>
  <c r="EG278" i="1"/>
  <c r="EF278" i="1"/>
  <c r="ES277" i="1"/>
  <c r="ET277" i="1" s="1"/>
  <c r="ER277" i="1"/>
  <c r="EQ277" i="1"/>
  <c r="EP277" i="1"/>
  <c r="EO277" i="1"/>
  <c r="EM277" i="1"/>
  <c r="EL277" i="1"/>
  <c r="EK277" i="1"/>
  <c r="EJ277" i="1"/>
  <c r="EI277" i="1"/>
  <c r="EH277" i="1"/>
  <c r="EG277" i="1"/>
  <c r="EF277" i="1"/>
  <c r="EN277" i="1" s="1"/>
  <c r="ET276" i="1"/>
  <c r="ES276" i="1"/>
  <c r="ER276" i="1"/>
  <c r="EQ276" i="1"/>
  <c r="EP276" i="1"/>
  <c r="EO276" i="1"/>
  <c r="EM276" i="1"/>
  <c r="EL276" i="1"/>
  <c r="EK276" i="1"/>
  <c r="EJ276" i="1"/>
  <c r="EN276" i="1" s="1"/>
  <c r="EI276" i="1"/>
  <c r="EH276" i="1"/>
  <c r="EG276" i="1"/>
  <c r="EF276" i="1"/>
  <c r="ES275" i="1"/>
  <c r="ET275" i="1" s="1"/>
  <c r="ER275" i="1"/>
  <c r="EQ275" i="1"/>
  <c r="EP275" i="1"/>
  <c r="EO275" i="1"/>
  <c r="EM275" i="1"/>
  <c r="EL275" i="1"/>
  <c r="EK275" i="1"/>
  <c r="EJ275" i="1"/>
  <c r="EI275" i="1"/>
  <c r="EH275" i="1"/>
  <c r="EG275" i="1"/>
  <c r="EF275" i="1"/>
  <c r="EN275" i="1" s="1"/>
  <c r="ES274" i="1"/>
  <c r="ET274" i="1" s="1"/>
  <c r="ER274" i="1"/>
  <c r="EQ274" i="1"/>
  <c r="EP274" i="1"/>
  <c r="EO274" i="1"/>
  <c r="EM274" i="1"/>
  <c r="EL274" i="1"/>
  <c r="EK274" i="1"/>
  <c r="EJ274" i="1"/>
  <c r="EI274" i="1"/>
  <c r="EH274" i="1"/>
  <c r="EG274" i="1"/>
  <c r="EF274" i="1"/>
  <c r="EN274" i="1" s="1"/>
  <c r="ES273" i="1"/>
  <c r="ET273" i="1" s="1"/>
  <c r="ER273" i="1"/>
  <c r="EQ273" i="1"/>
  <c r="EP273" i="1"/>
  <c r="EO273" i="1"/>
  <c r="EM273" i="1"/>
  <c r="EL273" i="1"/>
  <c r="EK273" i="1"/>
  <c r="EJ273" i="1"/>
  <c r="EI273" i="1"/>
  <c r="EH273" i="1"/>
  <c r="EG273" i="1"/>
  <c r="EF273" i="1"/>
  <c r="EN273" i="1" s="1"/>
  <c r="ET272" i="1"/>
  <c r="ES272" i="1"/>
  <c r="ER272" i="1"/>
  <c r="EQ272" i="1"/>
  <c r="EP272" i="1"/>
  <c r="EO272" i="1"/>
  <c r="EM272" i="1"/>
  <c r="EL272" i="1"/>
  <c r="EK272" i="1"/>
  <c r="EJ272" i="1"/>
  <c r="EN272" i="1" s="1"/>
  <c r="EI272" i="1"/>
  <c r="EH272" i="1"/>
  <c r="EG272" i="1"/>
  <c r="EF272" i="1"/>
  <c r="ES271" i="1"/>
  <c r="ET271" i="1" s="1"/>
  <c r="ER271" i="1"/>
  <c r="EQ271" i="1"/>
  <c r="EP271" i="1"/>
  <c r="EO271" i="1"/>
  <c r="EM271" i="1"/>
  <c r="EL271" i="1"/>
  <c r="EK271" i="1"/>
  <c r="EJ271" i="1"/>
  <c r="EI271" i="1"/>
  <c r="EH271" i="1"/>
  <c r="EG271" i="1"/>
  <c r="EF271" i="1"/>
  <c r="ES270" i="1"/>
  <c r="ET270" i="1" s="1"/>
  <c r="ER270" i="1"/>
  <c r="EQ270" i="1"/>
  <c r="EP270" i="1"/>
  <c r="EO270" i="1"/>
  <c r="EM270" i="1"/>
  <c r="EL270" i="1"/>
  <c r="EK270" i="1"/>
  <c r="EJ270" i="1"/>
  <c r="EN270" i="1" s="1"/>
  <c r="EI270" i="1"/>
  <c r="EH270" i="1"/>
  <c r="EG270" i="1"/>
  <c r="EF270" i="1"/>
  <c r="ES269" i="1"/>
  <c r="ET269" i="1" s="1"/>
  <c r="ER269" i="1"/>
  <c r="EQ269" i="1"/>
  <c r="EP269" i="1"/>
  <c r="EO269" i="1"/>
  <c r="EM269" i="1"/>
  <c r="EL269" i="1"/>
  <c r="EK269" i="1"/>
  <c r="EJ269" i="1"/>
  <c r="EI269" i="1"/>
  <c r="EH269" i="1"/>
  <c r="EG269" i="1"/>
  <c r="EF269" i="1"/>
  <c r="EN269" i="1" s="1"/>
  <c r="ET268" i="1"/>
  <c r="ES268" i="1"/>
  <c r="ER268" i="1"/>
  <c r="EQ268" i="1"/>
  <c r="EP268" i="1"/>
  <c r="EO268" i="1"/>
  <c r="EM268" i="1"/>
  <c r="EL268" i="1"/>
  <c r="EK268" i="1"/>
  <c r="EJ268" i="1"/>
  <c r="EN268" i="1" s="1"/>
  <c r="EI268" i="1"/>
  <c r="EH268" i="1"/>
  <c r="EG268" i="1"/>
  <c r="EF268" i="1"/>
  <c r="ES267" i="1"/>
  <c r="ET267" i="1" s="1"/>
  <c r="ER267" i="1"/>
  <c r="EQ267" i="1"/>
  <c r="EP267" i="1"/>
  <c r="EO267" i="1"/>
  <c r="EM267" i="1"/>
  <c r="EL267" i="1"/>
  <c r="EK267" i="1"/>
  <c r="EJ267" i="1"/>
  <c r="EI267" i="1"/>
  <c r="EH267" i="1"/>
  <c r="EG267" i="1"/>
  <c r="EF267" i="1"/>
  <c r="EN267" i="1" s="1"/>
  <c r="ES266" i="1"/>
  <c r="ET266" i="1" s="1"/>
  <c r="ER266" i="1"/>
  <c r="EQ266" i="1"/>
  <c r="EP266" i="1"/>
  <c r="EO266" i="1"/>
  <c r="EM266" i="1"/>
  <c r="EL266" i="1"/>
  <c r="EK266" i="1"/>
  <c r="EJ266" i="1"/>
  <c r="EI266" i="1"/>
  <c r="EH266" i="1"/>
  <c r="EG266" i="1"/>
  <c r="EF266" i="1"/>
  <c r="EN266" i="1" s="1"/>
  <c r="ES265" i="1"/>
  <c r="ET265" i="1" s="1"/>
  <c r="ER265" i="1"/>
  <c r="EQ265" i="1"/>
  <c r="EP265" i="1"/>
  <c r="EO265" i="1"/>
  <c r="EM265" i="1"/>
  <c r="EL265" i="1"/>
  <c r="EK265" i="1"/>
  <c r="EJ265" i="1"/>
  <c r="EI265" i="1"/>
  <c r="EH265" i="1"/>
  <c r="EG265" i="1"/>
  <c r="EF265" i="1"/>
  <c r="EN265" i="1" s="1"/>
  <c r="ET264" i="1"/>
  <c r="ES264" i="1"/>
  <c r="ER264" i="1"/>
  <c r="EQ264" i="1"/>
  <c r="EP264" i="1"/>
  <c r="EO264" i="1"/>
  <c r="EM264" i="1"/>
  <c r="EL264" i="1"/>
  <c r="EK264" i="1"/>
  <c r="EJ264" i="1"/>
  <c r="EN264" i="1" s="1"/>
  <c r="EI264" i="1"/>
  <c r="EH264" i="1"/>
  <c r="EG264" i="1"/>
  <c r="EF264" i="1"/>
  <c r="ES263" i="1"/>
  <c r="ET263" i="1" s="1"/>
  <c r="ER263" i="1"/>
  <c r="EQ263" i="1"/>
  <c r="EP263" i="1"/>
  <c r="EO263" i="1"/>
  <c r="EM263" i="1"/>
  <c r="EL263" i="1"/>
  <c r="EK263" i="1"/>
  <c r="EJ263" i="1"/>
  <c r="EI263" i="1"/>
  <c r="EH263" i="1"/>
  <c r="EG263" i="1"/>
  <c r="EF263" i="1"/>
  <c r="ES262" i="1"/>
  <c r="ET262" i="1" s="1"/>
  <c r="ER262" i="1"/>
  <c r="EQ262" i="1"/>
  <c r="EP262" i="1"/>
  <c r="EO262" i="1"/>
  <c r="EM262" i="1"/>
  <c r="EL262" i="1"/>
  <c r="EK262" i="1"/>
  <c r="EJ262" i="1"/>
  <c r="EN262" i="1" s="1"/>
  <c r="EI262" i="1"/>
  <c r="EH262" i="1"/>
  <c r="EG262" i="1"/>
  <c r="EF262" i="1"/>
  <c r="ES261" i="1"/>
  <c r="ET261" i="1" s="1"/>
  <c r="ER261" i="1"/>
  <c r="EQ261" i="1"/>
  <c r="EP261" i="1"/>
  <c r="EO261" i="1"/>
  <c r="EM261" i="1"/>
  <c r="EL261" i="1"/>
  <c r="EK261" i="1"/>
  <c r="EJ261" i="1"/>
  <c r="EI261" i="1"/>
  <c r="EH261" i="1"/>
  <c r="EG261" i="1"/>
  <c r="EF261" i="1"/>
  <c r="EN261" i="1" s="1"/>
  <c r="ET260" i="1"/>
  <c r="ES260" i="1"/>
  <c r="ER260" i="1"/>
  <c r="EQ260" i="1"/>
  <c r="EP260" i="1"/>
  <c r="EO260" i="1"/>
  <c r="EM260" i="1"/>
  <c r="EL260" i="1"/>
  <c r="EK260" i="1"/>
  <c r="EJ260" i="1"/>
  <c r="EN260" i="1" s="1"/>
  <c r="EI260" i="1"/>
  <c r="EH260" i="1"/>
  <c r="EG260" i="1"/>
  <c r="EF260" i="1"/>
  <c r="ES259" i="1"/>
  <c r="ET259" i="1" s="1"/>
  <c r="ER259" i="1"/>
  <c r="EQ259" i="1"/>
  <c r="EP259" i="1"/>
  <c r="EO259" i="1"/>
  <c r="EM259" i="1"/>
  <c r="EL259" i="1"/>
  <c r="EK259" i="1"/>
  <c r="EJ259" i="1"/>
  <c r="EI259" i="1"/>
  <c r="EH259" i="1"/>
  <c r="EG259" i="1"/>
  <c r="EF259" i="1"/>
  <c r="EN259" i="1" s="1"/>
  <c r="ES258" i="1"/>
  <c r="ET258" i="1" s="1"/>
  <c r="ER258" i="1"/>
  <c r="EQ258" i="1"/>
  <c r="EP258" i="1"/>
  <c r="EO258" i="1"/>
  <c r="EM258" i="1"/>
  <c r="EL258" i="1"/>
  <c r="EK258" i="1"/>
  <c r="EJ258" i="1"/>
  <c r="EI258" i="1"/>
  <c r="EH258" i="1"/>
  <c r="EG258" i="1"/>
  <c r="EF258" i="1"/>
  <c r="EN258" i="1" s="1"/>
  <c r="ES257" i="1"/>
  <c r="ET257" i="1" s="1"/>
  <c r="ER257" i="1"/>
  <c r="EQ257" i="1"/>
  <c r="EP257" i="1"/>
  <c r="EO257" i="1"/>
  <c r="EM257" i="1"/>
  <c r="EL257" i="1"/>
  <c r="EK257" i="1"/>
  <c r="EJ257" i="1"/>
  <c r="EI257" i="1"/>
  <c r="EH257" i="1"/>
  <c r="EG257" i="1"/>
  <c r="EF257" i="1"/>
  <c r="EN257" i="1" s="1"/>
  <c r="ET256" i="1"/>
  <c r="ES256" i="1"/>
  <c r="ER256" i="1"/>
  <c r="EQ256" i="1"/>
  <c r="EP256" i="1"/>
  <c r="EO256" i="1"/>
  <c r="EM256" i="1"/>
  <c r="EL256" i="1"/>
  <c r="EK256" i="1"/>
  <c r="EJ256" i="1"/>
  <c r="EN256" i="1" s="1"/>
  <c r="EI256" i="1"/>
  <c r="EH256" i="1"/>
  <c r="EG256" i="1"/>
  <c r="EF256" i="1"/>
  <c r="ES255" i="1"/>
  <c r="ET255" i="1" s="1"/>
  <c r="ER255" i="1"/>
  <c r="EQ255" i="1"/>
  <c r="EP255" i="1"/>
  <c r="EO255" i="1"/>
  <c r="EM255" i="1"/>
  <c r="EL255" i="1"/>
  <c r="EK255" i="1"/>
  <c r="EJ255" i="1"/>
  <c r="EI255" i="1"/>
  <c r="EH255" i="1"/>
  <c r="EG255" i="1"/>
  <c r="EF255" i="1"/>
  <c r="ES254" i="1"/>
  <c r="ET254" i="1" s="1"/>
  <c r="ER254" i="1"/>
  <c r="EQ254" i="1"/>
  <c r="EP254" i="1"/>
  <c r="EO254" i="1"/>
  <c r="EM254" i="1"/>
  <c r="EL254" i="1"/>
  <c r="EK254" i="1"/>
  <c r="EJ254" i="1"/>
  <c r="EI254" i="1"/>
  <c r="EH254" i="1"/>
  <c r="EG254" i="1"/>
  <c r="EF254" i="1"/>
  <c r="EN254" i="1" s="1"/>
  <c r="ES253" i="1"/>
  <c r="ET253" i="1" s="1"/>
  <c r="ER253" i="1"/>
  <c r="EQ253" i="1"/>
  <c r="EP253" i="1"/>
  <c r="EO253" i="1"/>
  <c r="EM253" i="1"/>
  <c r="EL253" i="1"/>
  <c r="EK253" i="1"/>
  <c r="EJ253" i="1"/>
  <c r="EI253" i="1"/>
  <c r="EH253" i="1"/>
  <c r="EG253" i="1"/>
  <c r="EF253" i="1"/>
  <c r="EN253" i="1" s="1"/>
  <c r="ET252" i="1"/>
  <c r="ES252" i="1"/>
  <c r="ER252" i="1"/>
  <c r="EQ252" i="1"/>
  <c r="EP252" i="1"/>
  <c r="EO252" i="1"/>
  <c r="EM252" i="1"/>
  <c r="EL252" i="1"/>
  <c r="EK252" i="1"/>
  <c r="EJ252" i="1"/>
  <c r="EN252" i="1" s="1"/>
  <c r="EI252" i="1"/>
  <c r="EH252" i="1"/>
  <c r="EG252" i="1"/>
  <c r="EF252" i="1"/>
  <c r="ES251" i="1"/>
  <c r="ET251" i="1" s="1"/>
  <c r="ER251" i="1"/>
  <c r="EQ251" i="1"/>
  <c r="EP251" i="1"/>
  <c r="EO251" i="1"/>
  <c r="EM251" i="1"/>
  <c r="EL251" i="1"/>
  <c r="EK251" i="1"/>
  <c r="EJ251" i="1"/>
  <c r="EI251" i="1"/>
  <c r="EH251" i="1"/>
  <c r="EG251" i="1"/>
  <c r="EF251" i="1"/>
  <c r="ES250" i="1"/>
  <c r="ET250" i="1" s="1"/>
  <c r="ER250" i="1"/>
  <c r="EQ250" i="1"/>
  <c r="EP250" i="1"/>
  <c r="EO250" i="1"/>
  <c r="EM250" i="1"/>
  <c r="EL250" i="1"/>
  <c r="EK250" i="1"/>
  <c r="EJ250" i="1"/>
  <c r="EI250" i="1"/>
  <c r="EH250" i="1"/>
  <c r="EG250" i="1"/>
  <c r="EF250" i="1"/>
  <c r="EN250" i="1" s="1"/>
  <c r="ES249" i="1"/>
  <c r="ET249" i="1" s="1"/>
  <c r="ER249" i="1"/>
  <c r="EQ249" i="1"/>
  <c r="EP249" i="1"/>
  <c r="EO249" i="1"/>
  <c r="EM249" i="1"/>
  <c r="EL249" i="1"/>
  <c r="EK249" i="1"/>
  <c r="EJ249" i="1"/>
  <c r="EI249" i="1"/>
  <c r="EH249" i="1"/>
  <c r="EG249" i="1"/>
  <c r="EF249" i="1"/>
  <c r="EN249" i="1" s="1"/>
  <c r="ET248" i="1"/>
  <c r="ES248" i="1"/>
  <c r="ER248" i="1"/>
  <c r="EQ248" i="1"/>
  <c r="EP248" i="1"/>
  <c r="EO248" i="1"/>
  <c r="EM248" i="1"/>
  <c r="EL248" i="1"/>
  <c r="EK248" i="1"/>
  <c r="EJ248" i="1"/>
  <c r="EN248" i="1" s="1"/>
  <c r="EI248" i="1"/>
  <c r="EH248" i="1"/>
  <c r="EG248" i="1"/>
  <c r="EF248" i="1"/>
  <c r="ES247" i="1"/>
  <c r="ET247" i="1" s="1"/>
  <c r="ER247" i="1"/>
  <c r="EQ247" i="1"/>
  <c r="EP247" i="1"/>
  <c r="EO247" i="1"/>
  <c r="EM247" i="1"/>
  <c r="EL247" i="1"/>
  <c r="EK247" i="1"/>
  <c r="EJ247" i="1"/>
  <c r="EI247" i="1"/>
  <c r="EH247" i="1"/>
  <c r="EG247" i="1"/>
  <c r="EF247" i="1"/>
  <c r="ES246" i="1"/>
  <c r="ET246" i="1" s="1"/>
  <c r="ER246" i="1"/>
  <c r="EQ246" i="1"/>
  <c r="EP246" i="1"/>
  <c r="EO246" i="1"/>
  <c r="EM246" i="1"/>
  <c r="EL246" i="1"/>
  <c r="EK246" i="1"/>
  <c r="EJ246" i="1"/>
  <c r="EI246" i="1"/>
  <c r="EH246" i="1"/>
  <c r="EG246" i="1"/>
  <c r="EF246" i="1"/>
  <c r="EN246" i="1" s="1"/>
  <c r="ES245" i="1"/>
  <c r="ET245" i="1" s="1"/>
  <c r="ER245" i="1"/>
  <c r="EQ245" i="1"/>
  <c r="EP245" i="1"/>
  <c r="EO245" i="1"/>
  <c r="EM245" i="1"/>
  <c r="EL245" i="1"/>
  <c r="EK245" i="1"/>
  <c r="EJ245" i="1"/>
  <c r="EI245" i="1"/>
  <c r="EH245" i="1"/>
  <c r="EG245" i="1"/>
  <c r="EF245" i="1"/>
  <c r="EN245" i="1" s="1"/>
  <c r="ET244" i="1"/>
  <c r="ES244" i="1"/>
  <c r="ER244" i="1"/>
  <c r="EQ244" i="1"/>
  <c r="EP244" i="1"/>
  <c r="EO244" i="1"/>
  <c r="EM244" i="1"/>
  <c r="EL244" i="1"/>
  <c r="EK244" i="1"/>
  <c r="EJ244" i="1"/>
  <c r="EN244" i="1" s="1"/>
  <c r="EI244" i="1"/>
  <c r="EH244" i="1"/>
  <c r="EG244" i="1"/>
  <c r="EF244" i="1"/>
  <c r="ES243" i="1"/>
  <c r="ET243" i="1" s="1"/>
  <c r="ER243" i="1"/>
  <c r="EQ243" i="1"/>
  <c r="EP243" i="1"/>
  <c r="EO243" i="1"/>
  <c r="EM243" i="1"/>
  <c r="EL243" i="1"/>
  <c r="EK243" i="1"/>
  <c r="EJ243" i="1"/>
  <c r="EI243" i="1"/>
  <c r="EH243" i="1"/>
  <c r="EG243" i="1"/>
  <c r="EF243" i="1"/>
  <c r="ES242" i="1"/>
  <c r="ET242" i="1" s="1"/>
  <c r="ER242" i="1"/>
  <c r="EQ242" i="1"/>
  <c r="EP242" i="1"/>
  <c r="EO242" i="1"/>
  <c r="EM242" i="1"/>
  <c r="EL242" i="1"/>
  <c r="EK242" i="1"/>
  <c r="EJ242" i="1"/>
  <c r="EI242" i="1"/>
  <c r="EH242" i="1"/>
  <c r="EG242" i="1"/>
  <c r="EF242" i="1"/>
  <c r="EN242" i="1" s="1"/>
  <c r="ES241" i="1"/>
  <c r="ET241" i="1" s="1"/>
  <c r="ER241" i="1"/>
  <c r="EQ241" i="1"/>
  <c r="EP241" i="1"/>
  <c r="EO241" i="1"/>
  <c r="EM241" i="1"/>
  <c r="EL241" i="1"/>
  <c r="EK241" i="1"/>
  <c r="EJ241" i="1"/>
  <c r="EI241" i="1"/>
  <c r="EH241" i="1"/>
  <c r="EG241" i="1"/>
  <c r="EF241" i="1"/>
  <c r="EN241" i="1" s="1"/>
  <c r="ET240" i="1"/>
  <c r="ES240" i="1"/>
  <c r="ER240" i="1"/>
  <c r="EQ240" i="1"/>
  <c r="EP240" i="1"/>
  <c r="EO240" i="1"/>
  <c r="EM240" i="1"/>
  <c r="EL240" i="1"/>
  <c r="EK240" i="1"/>
  <c r="EJ240" i="1"/>
  <c r="EN240" i="1" s="1"/>
  <c r="EI240" i="1"/>
  <c r="EH240" i="1"/>
  <c r="EG240" i="1"/>
  <c r="EF240" i="1"/>
  <c r="ET239" i="1"/>
  <c r="ES239" i="1"/>
  <c r="ER239" i="1"/>
  <c r="EQ239" i="1"/>
  <c r="EP239" i="1"/>
  <c r="EO239" i="1"/>
  <c r="EM239" i="1"/>
  <c r="EL239" i="1"/>
  <c r="EK239" i="1"/>
  <c r="EJ239" i="1"/>
  <c r="EI239" i="1"/>
  <c r="EH239" i="1"/>
  <c r="EG239" i="1"/>
  <c r="EF239" i="1"/>
  <c r="ES238" i="1"/>
  <c r="ET238" i="1" s="1"/>
  <c r="ER238" i="1"/>
  <c r="EQ238" i="1"/>
  <c r="EP238" i="1"/>
  <c r="EO238" i="1"/>
  <c r="EN238" i="1"/>
  <c r="EM238" i="1"/>
  <c r="EL238" i="1"/>
  <c r="EK238" i="1"/>
  <c r="EJ238" i="1"/>
  <c r="EI238" i="1"/>
  <c r="EH238" i="1"/>
  <c r="EG238" i="1"/>
  <c r="EF238" i="1"/>
  <c r="ES237" i="1"/>
  <c r="ET237" i="1" s="1"/>
  <c r="ER237" i="1"/>
  <c r="EQ237" i="1"/>
  <c r="EP237" i="1"/>
  <c r="EO237" i="1"/>
  <c r="EM237" i="1"/>
  <c r="EL237" i="1"/>
  <c r="EK237" i="1"/>
  <c r="EJ237" i="1"/>
  <c r="EI237" i="1"/>
  <c r="EH237" i="1"/>
  <c r="EG237" i="1"/>
  <c r="EF237" i="1"/>
  <c r="EN237" i="1" s="1"/>
  <c r="ES236" i="1"/>
  <c r="ET236" i="1" s="1"/>
  <c r="ER236" i="1"/>
  <c r="EQ236" i="1"/>
  <c r="EP236" i="1"/>
  <c r="EO236" i="1"/>
  <c r="EM236" i="1"/>
  <c r="EL236" i="1"/>
  <c r="EK236" i="1"/>
  <c r="EJ236" i="1"/>
  <c r="EN236" i="1" s="1"/>
  <c r="EI236" i="1"/>
  <c r="EH236" i="1"/>
  <c r="EG236" i="1"/>
  <c r="EF236" i="1"/>
  <c r="ES235" i="1"/>
  <c r="ET235" i="1" s="1"/>
  <c r="ER235" i="1"/>
  <c r="EQ235" i="1"/>
  <c r="EP235" i="1"/>
  <c r="EO235" i="1"/>
  <c r="EM235" i="1"/>
  <c r="EL235" i="1"/>
  <c r="EK235" i="1"/>
  <c r="EJ235" i="1"/>
  <c r="EI235" i="1"/>
  <c r="EH235" i="1"/>
  <c r="EG235" i="1"/>
  <c r="EF235" i="1"/>
  <c r="EN235" i="1" s="1"/>
  <c r="ES234" i="1"/>
  <c r="ET234" i="1" s="1"/>
  <c r="ER234" i="1"/>
  <c r="EQ234" i="1"/>
  <c r="EP234" i="1"/>
  <c r="EO234" i="1"/>
  <c r="EM234" i="1"/>
  <c r="EL234" i="1"/>
  <c r="EK234" i="1"/>
  <c r="EJ234" i="1"/>
  <c r="EI234" i="1"/>
  <c r="EH234" i="1"/>
  <c r="EG234" i="1"/>
  <c r="EF234" i="1"/>
  <c r="EN234" i="1" s="1"/>
  <c r="ES233" i="1"/>
  <c r="ET233" i="1" s="1"/>
  <c r="ER233" i="1"/>
  <c r="EQ233" i="1"/>
  <c r="EP233" i="1"/>
  <c r="EO233" i="1"/>
  <c r="EM233" i="1"/>
  <c r="EL233" i="1"/>
  <c r="EK233" i="1"/>
  <c r="EJ233" i="1"/>
  <c r="EI233" i="1"/>
  <c r="EH233" i="1"/>
  <c r="EG233" i="1"/>
  <c r="EF233" i="1"/>
  <c r="ES232" i="1"/>
  <c r="ET232" i="1" s="1"/>
  <c r="ER232" i="1"/>
  <c r="EQ232" i="1"/>
  <c r="EP232" i="1"/>
  <c r="EO232" i="1"/>
  <c r="EM232" i="1"/>
  <c r="EL232" i="1"/>
  <c r="EK232" i="1"/>
  <c r="EJ232" i="1"/>
  <c r="EN232" i="1" s="1"/>
  <c r="EI232" i="1"/>
  <c r="EH232" i="1"/>
  <c r="EG232" i="1"/>
  <c r="EF232" i="1"/>
  <c r="ES231" i="1"/>
  <c r="ET231" i="1" s="1"/>
  <c r="ER231" i="1"/>
  <c r="EQ231" i="1"/>
  <c r="EP231" i="1"/>
  <c r="EO231" i="1"/>
  <c r="EM231" i="1"/>
  <c r="EL231" i="1"/>
  <c r="EK231" i="1"/>
  <c r="EJ231" i="1"/>
  <c r="EI231" i="1"/>
  <c r="EH231" i="1"/>
  <c r="EG231" i="1"/>
  <c r="EF231" i="1"/>
  <c r="EN231" i="1" s="1"/>
  <c r="ES230" i="1"/>
  <c r="ET230" i="1" s="1"/>
  <c r="ER230" i="1"/>
  <c r="EQ230" i="1"/>
  <c r="EP230" i="1"/>
  <c r="EO230" i="1"/>
  <c r="EN230" i="1"/>
  <c r="EM230" i="1"/>
  <c r="EL230" i="1"/>
  <c r="EK230" i="1"/>
  <c r="EJ230" i="1"/>
  <c r="EI230" i="1"/>
  <c r="EH230" i="1"/>
  <c r="EG230" i="1"/>
  <c r="EF230" i="1"/>
  <c r="ES229" i="1"/>
  <c r="ET229" i="1" s="1"/>
  <c r="ER229" i="1"/>
  <c r="EQ229" i="1"/>
  <c r="EP229" i="1"/>
  <c r="EO229" i="1"/>
  <c r="EM229" i="1"/>
  <c r="EL229" i="1"/>
  <c r="EK229" i="1"/>
  <c r="EJ229" i="1"/>
  <c r="EI229" i="1"/>
  <c r="EH229" i="1"/>
  <c r="EG229" i="1"/>
  <c r="EF229" i="1"/>
  <c r="ES228" i="1"/>
  <c r="ET228" i="1" s="1"/>
  <c r="ER228" i="1"/>
  <c r="EQ228" i="1"/>
  <c r="EP228" i="1"/>
  <c r="EO228" i="1"/>
  <c r="EM228" i="1"/>
  <c r="EL228" i="1"/>
  <c r="EK228" i="1"/>
  <c r="EJ228" i="1"/>
  <c r="EI228" i="1"/>
  <c r="EH228" i="1"/>
  <c r="EG228" i="1"/>
  <c r="EF228" i="1"/>
  <c r="ES227" i="1"/>
  <c r="ET227" i="1" s="1"/>
  <c r="ER227" i="1"/>
  <c r="EQ227" i="1"/>
  <c r="EP227" i="1"/>
  <c r="EO227" i="1"/>
  <c r="EM227" i="1"/>
  <c r="EL227" i="1"/>
  <c r="EK227" i="1"/>
  <c r="EJ227" i="1"/>
  <c r="EI227" i="1"/>
  <c r="EH227" i="1"/>
  <c r="EG227" i="1"/>
  <c r="EF227" i="1"/>
  <c r="EN227" i="1" s="1"/>
  <c r="ES226" i="1"/>
  <c r="ET226" i="1" s="1"/>
  <c r="ER226" i="1"/>
  <c r="EQ226" i="1"/>
  <c r="EP226" i="1"/>
  <c r="EO226" i="1"/>
  <c r="EM226" i="1"/>
  <c r="EL226" i="1"/>
  <c r="EK226" i="1"/>
  <c r="EJ226" i="1"/>
  <c r="EI226" i="1"/>
  <c r="EH226" i="1"/>
  <c r="EG226" i="1"/>
  <c r="EF226" i="1"/>
  <c r="EN226" i="1" s="1"/>
  <c r="ES225" i="1"/>
  <c r="ET225" i="1" s="1"/>
  <c r="ER225" i="1"/>
  <c r="EQ225" i="1"/>
  <c r="EP225" i="1"/>
  <c r="EO225" i="1"/>
  <c r="EM225" i="1"/>
  <c r="EL225" i="1"/>
  <c r="EK225" i="1"/>
  <c r="EJ225" i="1"/>
  <c r="EI225" i="1"/>
  <c r="EH225" i="1"/>
  <c r="EG225" i="1"/>
  <c r="EF225" i="1"/>
  <c r="ES224" i="1"/>
  <c r="ET224" i="1" s="1"/>
  <c r="ER224" i="1"/>
  <c r="EQ224" i="1"/>
  <c r="EP224" i="1"/>
  <c r="EO224" i="1"/>
  <c r="EM224" i="1"/>
  <c r="EL224" i="1"/>
  <c r="EK224" i="1"/>
  <c r="EJ224" i="1"/>
  <c r="EI224" i="1"/>
  <c r="EH224" i="1"/>
  <c r="EG224" i="1"/>
  <c r="EF224" i="1"/>
  <c r="ES223" i="1"/>
  <c r="ET223" i="1" s="1"/>
  <c r="ER223" i="1"/>
  <c r="EQ223" i="1"/>
  <c r="EP223" i="1"/>
  <c r="EO223" i="1"/>
  <c r="EM223" i="1"/>
  <c r="EL223" i="1"/>
  <c r="EK223" i="1"/>
  <c r="EJ223" i="1"/>
  <c r="EI223" i="1"/>
  <c r="EH223" i="1"/>
  <c r="EG223" i="1"/>
  <c r="EF223" i="1"/>
  <c r="EN223" i="1" s="1"/>
  <c r="ES222" i="1"/>
  <c r="ET222" i="1" s="1"/>
  <c r="ER222" i="1"/>
  <c r="EQ222" i="1"/>
  <c r="EP222" i="1"/>
  <c r="EO222" i="1"/>
  <c r="EN222" i="1"/>
  <c r="EM222" i="1"/>
  <c r="EL222" i="1"/>
  <c r="EK222" i="1"/>
  <c r="EJ222" i="1"/>
  <c r="EI222" i="1"/>
  <c r="EH222" i="1"/>
  <c r="EG222" i="1"/>
  <c r="EF222" i="1"/>
  <c r="ES221" i="1"/>
  <c r="ET221" i="1" s="1"/>
  <c r="ER221" i="1"/>
  <c r="EQ221" i="1"/>
  <c r="EP221" i="1"/>
  <c r="EO221" i="1"/>
  <c r="EM221" i="1"/>
  <c r="EL221" i="1"/>
  <c r="EK221" i="1"/>
  <c r="EJ221" i="1"/>
  <c r="EI221" i="1"/>
  <c r="EH221" i="1"/>
  <c r="EG221" i="1"/>
  <c r="EF221" i="1"/>
  <c r="ES220" i="1"/>
  <c r="ET220" i="1" s="1"/>
  <c r="ER220" i="1"/>
  <c r="EQ220" i="1"/>
  <c r="EP220" i="1"/>
  <c r="EO220" i="1"/>
  <c r="EM220" i="1"/>
  <c r="EL220" i="1"/>
  <c r="EK220" i="1"/>
  <c r="EJ220" i="1"/>
  <c r="EI220" i="1"/>
  <c r="EH220" i="1"/>
  <c r="EG220" i="1"/>
  <c r="EF220" i="1"/>
  <c r="ES219" i="1"/>
  <c r="ET219" i="1" s="1"/>
  <c r="ER219" i="1"/>
  <c r="EQ219" i="1"/>
  <c r="EP219" i="1"/>
  <c r="EO219" i="1"/>
  <c r="EM219" i="1"/>
  <c r="EL219" i="1"/>
  <c r="EK219" i="1"/>
  <c r="EJ219" i="1"/>
  <c r="EI219" i="1"/>
  <c r="EH219" i="1"/>
  <c r="EG219" i="1"/>
  <c r="EF219" i="1"/>
  <c r="EN219" i="1" s="1"/>
  <c r="ES218" i="1"/>
  <c r="ET218" i="1" s="1"/>
  <c r="ER218" i="1"/>
  <c r="EQ218" i="1"/>
  <c r="EP218" i="1"/>
  <c r="EO218" i="1"/>
  <c r="EM218" i="1"/>
  <c r="EL218" i="1"/>
  <c r="EK218" i="1"/>
  <c r="EJ218" i="1"/>
  <c r="EN218" i="1" s="1"/>
  <c r="EI218" i="1"/>
  <c r="EH218" i="1"/>
  <c r="EG218" i="1"/>
  <c r="EF218" i="1"/>
  <c r="ES217" i="1"/>
  <c r="ET217" i="1" s="1"/>
  <c r="ER217" i="1"/>
  <c r="EQ217" i="1"/>
  <c r="EP217" i="1"/>
  <c r="EO217" i="1"/>
  <c r="EM217" i="1"/>
  <c r="EL217" i="1"/>
  <c r="EK217" i="1"/>
  <c r="EJ217" i="1"/>
  <c r="EI217" i="1"/>
  <c r="EH217" i="1"/>
  <c r="EG217" i="1"/>
  <c r="EF217" i="1"/>
  <c r="ES216" i="1"/>
  <c r="ET216" i="1" s="1"/>
  <c r="ER216" i="1"/>
  <c r="EQ216" i="1"/>
  <c r="EP216" i="1"/>
  <c r="EO216" i="1"/>
  <c r="EM216" i="1"/>
  <c r="EL216" i="1"/>
  <c r="EK216" i="1"/>
  <c r="EJ216" i="1"/>
  <c r="EI216" i="1"/>
  <c r="EH216" i="1"/>
  <c r="EG216" i="1"/>
  <c r="EF216" i="1"/>
  <c r="ES215" i="1"/>
  <c r="ET215" i="1" s="1"/>
  <c r="ER215" i="1"/>
  <c r="EQ215" i="1"/>
  <c r="EP215" i="1"/>
  <c r="EO215" i="1"/>
  <c r="EM215" i="1"/>
  <c r="EL215" i="1"/>
  <c r="EK215" i="1"/>
  <c r="EJ215" i="1"/>
  <c r="EI215" i="1"/>
  <c r="EH215" i="1"/>
  <c r="EG215" i="1"/>
  <c r="EF215" i="1"/>
  <c r="ES214" i="1"/>
  <c r="ET214" i="1" s="1"/>
  <c r="ER214" i="1"/>
  <c r="EQ214" i="1"/>
  <c r="EP214" i="1"/>
  <c r="EO214" i="1"/>
  <c r="EN214" i="1"/>
  <c r="EM214" i="1"/>
  <c r="EL214" i="1"/>
  <c r="EK214" i="1"/>
  <c r="EJ214" i="1"/>
  <c r="EI214" i="1"/>
  <c r="EH214" i="1"/>
  <c r="EG214" i="1"/>
  <c r="EF214" i="1"/>
  <c r="ES213" i="1"/>
  <c r="ET213" i="1" s="1"/>
  <c r="ER213" i="1"/>
  <c r="EQ213" i="1"/>
  <c r="EP213" i="1"/>
  <c r="EO213" i="1"/>
  <c r="EM213" i="1"/>
  <c r="EL213" i="1"/>
  <c r="EK213" i="1"/>
  <c r="EJ213" i="1"/>
  <c r="EI213" i="1"/>
  <c r="EH213" i="1"/>
  <c r="EG213" i="1"/>
  <c r="EF213" i="1"/>
  <c r="ES212" i="1"/>
  <c r="ET212" i="1" s="1"/>
  <c r="ER212" i="1"/>
  <c r="EQ212" i="1"/>
  <c r="EP212" i="1"/>
  <c r="EO212" i="1"/>
  <c r="EM212" i="1"/>
  <c r="EL212" i="1"/>
  <c r="EK212" i="1"/>
  <c r="EJ212" i="1"/>
  <c r="EI212" i="1"/>
  <c r="EH212" i="1"/>
  <c r="EG212" i="1"/>
  <c r="EF212" i="1"/>
  <c r="ES211" i="1"/>
  <c r="ET211" i="1" s="1"/>
  <c r="ER211" i="1"/>
  <c r="EQ211" i="1"/>
  <c r="EP211" i="1"/>
  <c r="EO211" i="1"/>
  <c r="EM211" i="1"/>
  <c r="EL211" i="1"/>
  <c r="EK211" i="1"/>
  <c r="EJ211" i="1"/>
  <c r="EI211" i="1"/>
  <c r="EH211" i="1"/>
  <c r="EG211" i="1"/>
  <c r="EF211" i="1"/>
  <c r="EN211" i="1" s="1"/>
  <c r="ES210" i="1"/>
  <c r="ET210" i="1" s="1"/>
  <c r="ER210" i="1"/>
  <c r="EQ210" i="1"/>
  <c r="EP210" i="1"/>
  <c r="EO210" i="1"/>
  <c r="EM210" i="1"/>
  <c r="EL210" i="1"/>
  <c r="EK210" i="1"/>
  <c r="EJ210" i="1"/>
  <c r="EI210" i="1"/>
  <c r="EH210" i="1"/>
  <c r="EG210" i="1"/>
  <c r="EF210" i="1"/>
  <c r="EN210" i="1" s="1"/>
  <c r="ES209" i="1"/>
  <c r="ET209" i="1" s="1"/>
  <c r="ER209" i="1"/>
  <c r="EQ209" i="1"/>
  <c r="EP209" i="1"/>
  <c r="EO209" i="1"/>
  <c r="EM209" i="1"/>
  <c r="EL209" i="1"/>
  <c r="EK209" i="1"/>
  <c r="EJ209" i="1"/>
  <c r="EI209" i="1"/>
  <c r="EH209" i="1"/>
  <c r="EG209" i="1"/>
  <c r="EF209" i="1"/>
  <c r="ES208" i="1"/>
  <c r="ET208" i="1" s="1"/>
  <c r="ER208" i="1"/>
  <c r="EQ208" i="1"/>
  <c r="EP208" i="1"/>
  <c r="EO208" i="1"/>
  <c r="EM208" i="1"/>
  <c r="EL208" i="1"/>
  <c r="EK208" i="1"/>
  <c r="EJ208" i="1"/>
  <c r="EN208" i="1" s="1"/>
  <c r="EI208" i="1"/>
  <c r="EH208" i="1"/>
  <c r="EG208" i="1"/>
  <c r="EF208" i="1"/>
  <c r="ES207" i="1"/>
  <c r="ET207" i="1" s="1"/>
  <c r="ER207" i="1"/>
  <c r="EQ207" i="1"/>
  <c r="EP207" i="1"/>
  <c r="EO207" i="1"/>
  <c r="EM207" i="1"/>
  <c r="EL207" i="1"/>
  <c r="EK207" i="1"/>
  <c r="EJ207" i="1"/>
  <c r="EI207" i="1"/>
  <c r="EH207" i="1"/>
  <c r="EG207" i="1"/>
  <c r="EF207" i="1"/>
  <c r="ES206" i="1"/>
  <c r="ET206" i="1" s="1"/>
  <c r="ER206" i="1"/>
  <c r="EQ206" i="1"/>
  <c r="EP206" i="1"/>
  <c r="EO206" i="1"/>
  <c r="EN206" i="1"/>
  <c r="EM206" i="1"/>
  <c r="EL206" i="1"/>
  <c r="EK206" i="1"/>
  <c r="EJ206" i="1"/>
  <c r="EI206" i="1"/>
  <c r="EH206" i="1"/>
  <c r="EG206" i="1"/>
  <c r="EF206" i="1"/>
  <c r="ES205" i="1"/>
  <c r="ET205" i="1" s="1"/>
  <c r="ER205" i="1"/>
  <c r="EQ205" i="1"/>
  <c r="EP205" i="1"/>
  <c r="EO205" i="1"/>
  <c r="EM205" i="1"/>
  <c r="EL205" i="1"/>
  <c r="EK205" i="1"/>
  <c r="EJ205" i="1"/>
  <c r="EI205" i="1"/>
  <c r="EH205" i="1"/>
  <c r="EG205" i="1"/>
  <c r="EF205" i="1"/>
  <c r="ES204" i="1"/>
  <c r="ET204" i="1" s="1"/>
  <c r="ER204" i="1"/>
  <c r="EQ204" i="1"/>
  <c r="EP204" i="1"/>
  <c r="EO204" i="1"/>
  <c r="EM204" i="1"/>
  <c r="EL204" i="1"/>
  <c r="EK204" i="1"/>
  <c r="EJ204" i="1"/>
  <c r="EN204" i="1" s="1"/>
  <c r="EI204" i="1"/>
  <c r="EH204" i="1"/>
  <c r="EG204" i="1"/>
  <c r="EF204" i="1"/>
  <c r="ES203" i="1"/>
  <c r="ET203" i="1" s="1"/>
  <c r="ER203" i="1"/>
  <c r="EQ203" i="1"/>
  <c r="EP203" i="1"/>
  <c r="EO203" i="1"/>
  <c r="EM203" i="1"/>
  <c r="EL203" i="1"/>
  <c r="EK203" i="1"/>
  <c r="EJ203" i="1"/>
  <c r="EI203" i="1"/>
  <c r="EH203" i="1"/>
  <c r="EG203" i="1"/>
  <c r="EF203" i="1"/>
  <c r="EN203" i="1" s="1"/>
  <c r="ES202" i="1"/>
  <c r="ET202" i="1" s="1"/>
  <c r="ER202" i="1"/>
  <c r="EQ202" i="1"/>
  <c r="EP202" i="1"/>
  <c r="EO202" i="1"/>
  <c r="EM202" i="1"/>
  <c r="EL202" i="1"/>
  <c r="EK202" i="1"/>
  <c r="EJ202" i="1"/>
  <c r="EI202" i="1"/>
  <c r="EH202" i="1"/>
  <c r="EG202" i="1"/>
  <c r="EF202" i="1"/>
  <c r="EN202" i="1" s="1"/>
  <c r="ES201" i="1"/>
  <c r="ET201" i="1" s="1"/>
  <c r="ER201" i="1"/>
  <c r="EQ201" i="1"/>
  <c r="EP201" i="1"/>
  <c r="EO201" i="1"/>
  <c r="EM201" i="1"/>
  <c r="EL201" i="1"/>
  <c r="EK201" i="1"/>
  <c r="EJ201" i="1"/>
  <c r="EI201" i="1"/>
  <c r="EH201" i="1"/>
  <c r="EG201" i="1"/>
  <c r="EF201" i="1"/>
  <c r="ES200" i="1"/>
  <c r="ET200" i="1" s="1"/>
  <c r="ER200" i="1"/>
  <c r="EQ200" i="1"/>
  <c r="EP200" i="1"/>
  <c r="EO200" i="1"/>
  <c r="EM200" i="1"/>
  <c r="EL200" i="1"/>
  <c r="EK200" i="1"/>
  <c r="EJ200" i="1"/>
  <c r="EN200" i="1" s="1"/>
  <c r="EI200" i="1"/>
  <c r="EH200" i="1"/>
  <c r="EG200" i="1"/>
  <c r="EF200" i="1"/>
  <c r="ET199" i="1"/>
  <c r="ES199" i="1"/>
  <c r="ER199" i="1"/>
  <c r="EQ199" i="1"/>
  <c r="EP199" i="1"/>
  <c r="EO199" i="1"/>
  <c r="EM199" i="1"/>
  <c r="EL199" i="1"/>
  <c r="EK199" i="1"/>
  <c r="EJ199" i="1"/>
  <c r="EI199" i="1"/>
  <c r="EH199" i="1"/>
  <c r="EG199" i="1"/>
  <c r="EF199" i="1"/>
  <c r="ES198" i="1"/>
  <c r="ET198" i="1" s="1"/>
  <c r="ER198" i="1"/>
  <c r="EQ198" i="1"/>
  <c r="EP198" i="1"/>
  <c r="EO198" i="1"/>
  <c r="EN198" i="1"/>
  <c r="EM198" i="1"/>
  <c r="EL198" i="1"/>
  <c r="EK198" i="1"/>
  <c r="EJ198" i="1"/>
  <c r="EI198" i="1"/>
  <c r="EH198" i="1"/>
  <c r="EG198" i="1"/>
  <c r="EF198" i="1"/>
  <c r="ES197" i="1"/>
  <c r="ET197" i="1" s="1"/>
  <c r="ER197" i="1"/>
  <c r="EQ197" i="1"/>
  <c r="EP197" i="1"/>
  <c r="EO197" i="1"/>
  <c r="EM197" i="1"/>
  <c r="EL197" i="1"/>
  <c r="EK197" i="1"/>
  <c r="EJ197" i="1"/>
  <c r="EI197" i="1"/>
  <c r="EH197" i="1"/>
  <c r="EG197" i="1"/>
  <c r="EF197" i="1"/>
  <c r="ES196" i="1"/>
  <c r="ET196" i="1" s="1"/>
  <c r="ER196" i="1"/>
  <c r="EQ196" i="1"/>
  <c r="EP196" i="1"/>
  <c r="EO196" i="1"/>
  <c r="EM196" i="1"/>
  <c r="EL196" i="1"/>
  <c r="EK196" i="1"/>
  <c r="EJ196" i="1"/>
  <c r="EI196" i="1"/>
  <c r="EH196" i="1"/>
  <c r="EG196" i="1"/>
  <c r="EF196" i="1"/>
  <c r="ES195" i="1"/>
  <c r="ET195" i="1" s="1"/>
  <c r="ER195" i="1"/>
  <c r="EQ195" i="1"/>
  <c r="EP195" i="1"/>
  <c r="EO195" i="1"/>
  <c r="EM195" i="1"/>
  <c r="EL195" i="1"/>
  <c r="EK195" i="1"/>
  <c r="EJ195" i="1"/>
  <c r="EI195" i="1"/>
  <c r="EH195" i="1"/>
  <c r="EG195" i="1"/>
  <c r="EF195" i="1"/>
  <c r="EN195" i="1" s="1"/>
  <c r="ES194" i="1"/>
  <c r="ET194" i="1" s="1"/>
  <c r="ER194" i="1"/>
  <c r="EQ194" i="1"/>
  <c r="EP194" i="1"/>
  <c r="EO194" i="1"/>
  <c r="EM194" i="1"/>
  <c r="EL194" i="1"/>
  <c r="EK194" i="1"/>
  <c r="EJ194" i="1"/>
  <c r="EI194" i="1"/>
  <c r="EH194" i="1"/>
  <c r="EG194" i="1"/>
  <c r="EF194" i="1"/>
  <c r="EN194" i="1" s="1"/>
  <c r="ES193" i="1"/>
  <c r="ET193" i="1" s="1"/>
  <c r="ER193" i="1"/>
  <c r="EQ193" i="1"/>
  <c r="EP193" i="1"/>
  <c r="EO193" i="1"/>
  <c r="EM193" i="1"/>
  <c r="EL193" i="1"/>
  <c r="EK193" i="1"/>
  <c r="EJ193" i="1"/>
  <c r="EI193" i="1"/>
  <c r="EH193" i="1"/>
  <c r="EG193" i="1"/>
  <c r="EF193" i="1"/>
  <c r="EN193" i="1" s="1"/>
  <c r="ET192" i="1"/>
  <c r="ES192" i="1"/>
  <c r="ER192" i="1"/>
  <c r="EQ192" i="1"/>
  <c r="EP192" i="1"/>
  <c r="EO192" i="1"/>
  <c r="EM192" i="1"/>
  <c r="EL192" i="1"/>
  <c r="EK192" i="1"/>
  <c r="EJ192" i="1"/>
  <c r="EN192" i="1" s="1"/>
  <c r="EI192" i="1"/>
  <c r="EH192" i="1"/>
  <c r="EG192" i="1"/>
  <c r="EF192" i="1"/>
  <c r="ES191" i="1"/>
  <c r="ET191" i="1" s="1"/>
  <c r="ER191" i="1"/>
  <c r="EQ191" i="1"/>
  <c r="EP191" i="1"/>
  <c r="EO191" i="1"/>
  <c r="EM191" i="1"/>
  <c r="EL191" i="1"/>
  <c r="EK191" i="1"/>
  <c r="EJ191" i="1"/>
  <c r="EI191" i="1"/>
  <c r="EH191" i="1"/>
  <c r="EG191" i="1"/>
  <c r="EF191" i="1"/>
  <c r="ES190" i="1"/>
  <c r="ET190" i="1" s="1"/>
  <c r="ER190" i="1"/>
  <c r="EQ190" i="1"/>
  <c r="EP190" i="1"/>
  <c r="EO190" i="1"/>
  <c r="EN190" i="1"/>
  <c r="EM190" i="1"/>
  <c r="EL190" i="1"/>
  <c r="EK190" i="1"/>
  <c r="EJ190" i="1"/>
  <c r="EI190" i="1"/>
  <c r="EH190" i="1"/>
  <c r="EG190" i="1"/>
  <c r="EF190" i="1"/>
  <c r="ES189" i="1"/>
  <c r="ET189" i="1" s="1"/>
  <c r="ER189" i="1"/>
  <c r="EQ189" i="1"/>
  <c r="EP189" i="1"/>
  <c r="EO189" i="1"/>
  <c r="EM189" i="1"/>
  <c r="EL189" i="1"/>
  <c r="EK189" i="1"/>
  <c r="EJ189" i="1"/>
  <c r="EI189" i="1"/>
  <c r="EH189" i="1"/>
  <c r="EG189" i="1"/>
  <c r="EF189" i="1"/>
  <c r="EN189" i="1" s="1"/>
  <c r="ES188" i="1"/>
  <c r="ET188" i="1" s="1"/>
  <c r="ER188" i="1"/>
  <c r="EQ188" i="1"/>
  <c r="EP188" i="1"/>
  <c r="EO188" i="1"/>
  <c r="EM188" i="1"/>
  <c r="EL188" i="1"/>
  <c r="EK188" i="1"/>
  <c r="EJ188" i="1"/>
  <c r="EI188" i="1"/>
  <c r="EH188" i="1"/>
  <c r="EG188" i="1"/>
  <c r="EF188" i="1"/>
  <c r="EN188" i="1" s="1"/>
  <c r="ES187" i="1"/>
  <c r="ET187" i="1" s="1"/>
  <c r="ER187" i="1"/>
  <c r="EQ187" i="1"/>
  <c r="EP187" i="1"/>
  <c r="EO187" i="1"/>
  <c r="EM187" i="1"/>
  <c r="EL187" i="1"/>
  <c r="EK187" i="1"/>
  <c r="EJ187" i="1"/>
  <c r="EI187" i="1"/>
  <c r="EH187" i="1"/>
  <c r="EG187" i="1"/>
  <c r="EF187" i="1"/>
  <c r="ES186" i="1"/>
  <c r="ET186" i="1" s="1"/>
  <c r="ER186" i="1"/>
  <c r="EQ186" i="1"/>
  <c r="EP186" i="1"/>
  <c r="EO186" i="1"/>
  <c r="EM186" i="1"/>
  <c r="EL186" i="1"/>
  <c r="EK186" i="1"/>
  <c r="EJ186" i="1"/>
  <c r="EI186" i="1"/>
  <c r="EH186" i="1"/>
  <c r="EG186" i="1"/>
  <c r="EF186" i="1"/>
  <c r="EN186" i="1" s="1"/>
  <c r="ES185" i="1"/>
  <c r="ET185" i="1" s="1"/>
  <c r="ER185" i="1"/>
  <c r="EQ185" i="1"/>
  <c r="EP185" i="1"/>
  <c r="EO185" i="1"/>
  <c r="EM185" i="1"/>
  <c r="EL185" i="1"/>
  <c r="EK185" i="1"/>
  <c r="EJ185" i="1"/>
  <c r="EI185" i="1"/>
  <c r="EH185" i="1"/>
  <c r="EG185" i="1"/>
  <c r="EF185" i="1"/>
  <c r="EN185" i="1" s="1"/>
  <c r="ES184" i="1"/>
  <c r="ET184" i="1" s="1"/>
  <c r="ER184" i="1"/>
  <c r="EQ184" i="1"/>
  <c r="EP184" i="1"/>
  <c r="EO184" i="1"/>
  <c r="EM184" i="1"/>
  <c r="EL184" i="1"/>
  <c r="EK184" i="1"/>
  <c r="EJ184" i="1"/>
  <c r="EI184" i="1"/>
  <c r="EH184" i="1"/>
  <c r="EG184" i="1"/>
  <c r="EF184" i="1"/>
  <c r="EN184" i="1" s="1"/>
  <c r="ES183" i="1"/>
  <c r="ET183" i="1" s="1"/>
  <c r="ER183" i="1"/>
  <c r="EQ183" i="1"/>
  <c r="EP183" i="1"/>
  <c r="EO183" i="1"/>
  <c r="EM183" i="1"/>
  <c r="EL183" i="1"/>
  <c r="EK183" i="1"/>
  <c r="EJ183" i="1"/>
  <c r="EI183" i="1"/>
  <c r="EH183" i="1"/>
  <c r="EG183" i="1"/>
  <c r="EF183" i="1"/>
  <c r="ES182" i="1"/>
  <c r="ET182" i="1" s="1"/>
  <c r="ER182" i="1"/>
  <c r="EQ182" i="1"/>
  <c r="EP182" i="1"/>
  <c r="EO182" i="1"/>
  <c r="EM182" i="1"/>
  <c r="EL182" i="1"/>
  <c r="EK182" i="1"/>
  <c r="EJ182" i="1"/>
  <c r="EI182" i="1"/>
  <c r="EH182" i="1"/>
  <c r="EG182" i="1"/>
  <c r="EF182" i="1"/>
  <c r="EN182" i="1" s="1"/>
  <c r="ES181" i="1"/>
  <c r="ET181" i="1" s="1"/>
  <c r="ER181" i="1"/>
  <c r="EQ181" i="1"/>
  <c r="EP181" i="1"/>
  <c r="EO181" i="1"/>
  <c r="EM181" i="1"/>
  <c r="EL181" i="1"/>
  <c r="EK181" i="1"/>
  <c r="EJ181" i="1"/>
  <c r="EI181" i="1"/>
  <c r="EH181" i="1"/>
  <c r="EG181" i="1"/>
  <c r="EF181" i="1"/>
  <c r="ES180" i="1"/>
  <c r="ET180" i="1" s="1"/>
  <c r="ER180" i="1"/>
  <c r="EQ180" i="1"/>
  <c r="EP180" i="1"/>
  <c r="EO180" i="1"/>
  <c r="EM180" i="1"/>
  <c r="EL180" i="1"/>
  <c r="EK180" i="1"/>
  <c r="EJ180" i="1"/>
  <c r="EN180" i="1" s="1"/>
  <c r="EI180" i="1"/>
  <c r="EH180" i="1"/>
  <c r="EG180" i="1"/>
  <c r="EF180" i="1"/>
  <c r="ES179" i="1"/>
  <c r="ET179" i="1" s="1"/>
  <c r="ER179" i="1"/>
  <c r="EQ179" i="1"/>
  <c r="EP179" i="1"/>
  <c r="EO179" i="1"/>
  <c r="EM179" i="1"/>
  <c r="EL179" i="1"/>
  <c r="EK179" i="1"/>
  <c r="EJ179" i="1"/>
  <c r="EI179" i="1"/>
  <c r="EH179" i="1"/>
  <c r="EG179" i="1"/>
  <c r="EF179" i="1"/>
  <c r="EN179" i="1" s="1"/>
  <c r="ES178" i="1"/>
  <c r="ET178" i="1" s="1"/>
  <c r="ER178" i="1"/>
  <c r="EQ178" i="1"/>
  <c r="EP178" i="1"/>
  <c r="EO178" i="1"/>
  <c r="EM178" i="1"/>
  <c r="EL178" i="1"/>
  <c r="EK178" i="1"/>
  <c r="EJ178" i="1"/>
  <c r="EI178" i="1"/>
  <c r="EH178" i="1"/>
  <c r="EG178" i="1"/>
  <c r="EF178" i="1"/>
  <c r="EN178" i="1" s="1"/>
  <c r="ES177" i="1"/>
  <c r="ET177" i="1" s="1"/>
  <c r="ER177" i="1"/>
  <c r="EQ177" i="1"/>
  <c r="EP177" i="1"/>
  <c r="EO177" i="1"/>
  <c r="EM177" i="1"/>
  <c r="EL177" i="1"/>
  <c r="EK177" i="1"/>
  <c r="EJ177" i="1"/>
  <c r="EI177" i="1"/>
  <c r="EH177" i="1"/>
  <c r="EG177" i="1"/>
  <c r="EF177" i="1"/>
  <c r="ET176" i="1"/>
  <c r="ES176" i="1"/>
  <c r="ER176" i="1"/>
  <c r="EQ176" i="1"/>
  <c r="EP176" i="1"/>
  <c r="EO176" i="1"/>
  <c r="EM176" i="1"/>
  <c r="EL176" i="1"/>
  <c r="EK176" i="1"/>
  <c r="EJ176" i="1"/>
  <c r="EI176" i="1"/>
  <c r="EH176" i="1"/>
  <c r="EG176" i="1"/>
  <c r="EF176" i="1"/>
  <c r="ES175" i="1"/>
  <c r="ET175" i="1" s="1"/>
  <c r="ER175" i="1"/>
  <c r="EQ175" i="1"/>
  <c r="EP175" i="1"/>
  <c r="EO175" i="1"/>
  <c r="EM175" i="1"/>
  <c r="EL175" i="1"/>
  <c r="EK175" i="1"/>
  <c r="EJ175" i="1"/>
  <c r="EI175" i="1"/>
  <c r="EH175" i="1"/>
  <c r="EG175" i="1"/>
  <c r="EF175" i="1"/>
  <c r="ES174" i="1"/>
  <c r="ET174" i="1" s="1"/>
  <c r="ER174" i="1"/>
  <c r="EQ174" i="1"/>
  <c r="EP174" i="1"/>
  <c r="EO174" i="1"/>
  <c r="EM174" i="1"/>
  <c r="EL174" i="1"/>
  <c r="EK174" i="1"/>
  <c r="EJ174" i="1"/>
  <c r="EI174" i="1"/>
  <c r="EH174" i="1"/>
  <c r="EG174" i="1"/>
  <c r="EF174" i="1"/>
  <c r="ES173" i="1"/>
  <c r="ET173" i="1" s="1"/>
  <c r="ER173" i="1"/>
  <c r="EQ173" i="1"/>
  <c r="EP173" i="1"/>
  <c r="EO173" i="1"/>
  <c r="EM173" i="1"/>
  <c r="EL173" i="1"/>
  <c r="EK173" i="1"/>
  <c r="EJ173" i="1"/>
  <c r="EI173" i="1"/>
  <c r="EH173" i="1"/>
  <c r="EG173" i="1"/>
  <c r="EF173" i="1"/>
  <c r="EN173" i="1" s="1"/>
  <c r="ES172" i="1"/>
  <c r="ET172" i="1" s="1"/>
  <c r="ER172" i="1"/>
  <c r="EQ172" i="1"/>
  <c r="EP172" i="1"/>
  <c r="EO172" i="1"/>
  <c r="EM172" i="1"/>
  <c r="EL172" i="1"/>
  <c r="EK172" i="1"/>
  <c r="EJ172" i="1"/>
  <c r="EI172" i="1"/>
  <c r="EH172" i="1"/>
  <c r="EG172" i="1"/>
  <c r="EF172" i="1"/>
  <c r="EN172" i="1" s="1"/>
  <c r="ES171" i="1"/>
  <c r="ET171" i="1" s="1"/>
  <c r="ER171" i="1"/>
  <c r="EQ171" i="1"/>
  <c r="EP171" i="1"/>
  <c r="EO171" i="1"/>
  <c r="EM171" i="1"/>
  <c r="EL171" i="1"/>
  <c r="EK171" i="1"/>
  <c r="EJ171" i="1"/>
  <c r="EI171" i="1"/>
  <c r="EH171" i="1"/>
  <c r="EG171" i="1"/>
  <c r="EF171" i="1"/>
  <c r="EN171" i="1" s="1"/>
  <c r="ES170" i="1"/>
  <c r="ET170" i="1" s="1"/>
  <c r="ER170" i="1"/>
  <c r="EQ170" i="1"/>
  <c r="EP170" i="1"/>
  <c r="EO170" i="1"/>
  <c r="EM170" i="1"/>
  <c r="EL170" i="1"/>
  <c r="EK170" i="1"/>
  <c r="EJ170" i="1"/>
  <c r="EI170" i="1"/>
  <c r="EH170" i="1"/>
  <c r="EG170" i="1"/>
  <c r="EF170" i="1"/>
  <c r="EN170" i="1" s="1"/>
  <c r="ES169" i="1"/>
  <c r="ET169" i="1" s="1"/>
  <c r="ER169" i="1"/>
  <c r="EQ169" i="1"/>
  <c r="EP169" i="1"/>
  <c r="EO169" i="1"/>
  <c r="EM169" i="1"/>
  <c r="EL169" i="1"/>
  <c r="EK169" i="1"/>
  <c r="EJ169" i="1"/>
  <c r="EI169" i="1"/>
  <c r="EH169" i="1"/>
  <c r="EG169" i="1"/>
  <c r="EF169" i="1"/>
  <c r="ES168" i="1"/>
  <c r="ET168" i="1" s="1"/>
  <c r="ER168" i="1"/>
  <c r="EQ168" i="1"/>
  <c r="EP168" i="1"/>
  <c r="EO168" i="1"/>
  <c r="EM168" i="1"/>
  <c r="EL168" i="1"/>
  <c r="EK168" i="1"/>
  <c r="EJ168" i="1"/>
  <c r="EI168" i="1"/>
  <c r="EH168" i="1"/>
  <c r="EG168" i="1"/>
  <c r="EF168" i="1"/>
  <c r="ES167" i="1"/>
  <c r="ET167" i="1" s="1"/>
  <c r="ER167" i="1"/>
  <c r="EQ167" i="1"/>
  <c r="EP167" i="1"/>
  <c r="EO167" i="1"/>
  <c r="EM167" i="1"/>
  <c r="EL167" i="1"/>
  <c r="EK167" i="1"/>
  <c r="EJ167" i="1"/>
  <c r="EI167" i="1"/>
  <c r="EH167" i="1"/>
  <c r="EG167" i="1"/>
  <c r="EF167" i="1"/>
  <c r="ET166" i="1"/>
  <c r="ES166" i="1"/>
  <c r="ER166" i="1"/>
  <c r="EQ166" i="1"/>
  <c r="EP166" i="1"/>
  <c r="EO166" i="1"/>
  <c r="EN166" i="1"/>
  <c r="EM166" i="1"/>
  <c r="EL166" i="1"/>
  <c r="EK166" i="1"/>
  <c r="EJ166" i="1"/>
  <c r="EI166" i="1"/>
  <c r="EH166" i="1"/>
  <c r="EG166" i="1"/>
  <c r="EF166" i="1"/>
  <c r="ES165" i="1"/>
  <c r="ET165" i="1" s="1"/>
  <c r="ER165" i="1"/>
  <c r="EQ165" i="1"/>
  <c r="EP165" i="1"/>
  <c r="EO165" i="1"/>
  <c r="EM165" i="1"/>
  <c r="EL165" i="1"/>
  <c r="EK165" i="1"/>
  <c r="EJ165" i="1"/>
  <c r="EI165" i="1"/>
  <c r="EH165" i="1"/>
  <c r="EG165" i="1"/>
  <c r="EF165" i="1"/>
  <c r="ES164" i="1"/>
  <c r="ET164" i="1" s="1"/>
  <c r="ER164" i="1"/>
  <c r="EQ164" i="1"/>
  <c r="EP164" i="1"/>
  <c r="EO164" i="1"/>
  <c r="EM164" i="1"/>
  <c r="EL164" i="1"/>
  <c r="EK164" i="1"/>
  <c r="EJ164" i="1"/>
  <c r="EI164" i="1"/>
  <c r="EH164" i="1"/>
  <c r="EG164" i="1"/>
  <c r="EF164" i="1"/>
  <c r="EN164" i="1" s="1"/>
  <c r="ES163" i="1"/>
  <c r="ET163" i="1" s="1"/>
  <c r="ER163" i="1"/>
  <c r="EQ163" i="1"/>
  <c r="EP163" i="1"/>
  <c r="EO163" i="1"/>
  <c r="EM163" i="1"/>
  <c r="EL163" i="1"/>
  <c r="EK163" i="1"/>
  <c r="EJ163" i="1"/>
  <c r="EI163" i="1"/>
  <c r="EH163" i="1"/>
  <c r="EG163" i="1"/>
  <c r="EF163" i="1"/>
  <c r="ES162" i="1"/>
  <c r="ET162" i="1" s="1"/>
  <c r="ER162" i="1"/>
  <c r="EQ162" i="1"/>
  <c r="EP162" i="1"/>
  <c r="EO162" i="1"/>
  <c r="EM162" i="1"/>
  <c r="EL162" i="1"/>
  <c r="EK162" i="1"/>
  <c r="EJ162" i="1"/>
  <c r="EI162" i="1"/>
  <c r="EH162" i="1"/>
  <c r="EG162" i="1"/>
  <c r="EF162" i="1"/>
  <c r="EN162" i="1" s="1"/>
  <c r="ES161" i="1"/>
  <c r="ET161" i="1" s="1"/>
  <c r="ER161" i="1"/>
  <c r="EQ161" i="1"/>
  <c r="EP161" i="1"/>
  <c r="EO161" i="1"/>
  <c r="EM161" i="1"/>
  <c r="EL161" i="1"/>
  <c r="EK161" i="1"/>
  <c r="EJ161" i="1"/>
  <c r="EI161" i="1"/>
  <c r="EH161" i="1"/>
  <c r="EG161" i="1"/>
  <c r="EF161" i="1"/>
  <c r="ES160" i="1"/>
  <c r="ET160" i="1" s="1"/>
  <c r="ER160" i="1"/>
  <c r="EQ160" i="1"/>
  <c r="EP160" i="1"/>
  <c r="EO160" i="1"/>
  <c r="EM160" i="1"/>
  <c r="EL160" i="1"/>
  <c r="EK160" i="1"/>
  <c r="EJ160" i="1"/>
  <c r="EI160" i="1"/>
  <c r="EH160" i="1"/>
  <c r="EG160" i="1"/>
  <c r="EF160" i="1"/>
  <c r="EN160" i="1" s="1"/>
  <c r="ES159" i="1"/>
  <c r="ET159" i="1" s="1"/>
  <c r="ER159" i="1"/>
  <c r="EQ159" i="1"/>
  <c r="EP159" i="1"/>
  <c r="EO159" i="1"/>
  <c r="EM159" i="1"/>
  <c r="EL159" i="1"/>
  <c r="EK159" i="1"/>
  <c r="EJ159" i="1"/>
  <c r="EI159" i="1"/>
  <c r="EH159" i="1"/>
  <c r="EG159" i="1"/>
  <c r="EF159" i="1"/>
  <c r="ES158" i="1"/>
  <c r="ET158" i="1" s="1"/>
  <c r="ER158" i="1"/>
  <c r="EQ158" i="1"/>
  <c r="EP158" i="1"/>
  <c r="EO158" i="1"/>
  <c r="EM158" i="1"/>
  <c r="EL158" i="1"/>
  <c r="EK158" i="1"/>
  <c r="EJ158" i="1"/>
  <c r="EI158" i="1"/>
  <c r="EH158" i="1"/>
  <c r="EG158" i="1"/>
  <c r="EF158" i="1"/>
  <c r="ES157" i="1"/>
  <c r="ET157" i="1" s="1"/>
  <c r="ER157" i="1"/>
  <c r="EQ157" i="1"/>
  <c r="EP157" i="1"/>
  <c r="EO157" i="1"/>
  <c r="EM157" i="1"/>
  <c r="EL157" i="1"/>
  <c r="EK157" i="1"/>
  <c r="EJ157" i="1"/>
  <c r="EI157" i="1"/>
  <c r="EH157" i="1"/>
  <c r="EG157" i="1"/>
  <c r="EF157" i="1"/>
  <c r="ES156" i="1"/>
  <c r="ET156" i="1" s="1"/>
  <c r="ER156" i="1"/>
  <c r="EQ156" i="1"/>
  <c r="EP156" i="1"/>
  <c r="EO156" i="1"/>
  <c r="EM156" i="1"/>
  <c r="EL156" i="1"/>
  <c r="EK156" i="1"/>
  <c r="EJ156" i="1"/>
  <c r="EI156" i="1"/>
  <c r="EH156" i="1"/>
  <c r="EG156" i="1"/>
  <c r="EF156" i="1"/>
  <c r="ES155" i="1"/>
  <c r="ET155" i="1" s="1"/>
  <c r="ER155" i="1"/>
  <c r="EQ155" i="1"/>
  <c r="EP155" i="1"/>
  <c r="EO155" i="1"/>
  <c r="EM155" i="1"/>
  <c r="EL155" i="1"/>
  <c r="EK155" i="1"/>
  <c r="EJ155" i="1"/>
  <c r="EI155" i="1"/>
  <c r="EH155" i="1"/>
  <c r="EG155" i="1"/>
  <c r="EF155" i="1"/>
  <c r="ES154" i="1"/>
  <c r="ET154" i="1" s="1"/>
  <c r="ER154" i="1"/>
  <c r="EQ154" i="1"/>
  <c r="EP154" i="1"/>
  <c r="EO154" i="1"/>
  <c r="EM154" i="1"/>
  <c r="EL154" i="1"/>
  <c r="EK154" i="1"/>
  <c r="EJ154" i="1"/>
  <c r="EI154" i="1"/>
  <c r="EH154" i="1"/>
  <c r="EG154" i="1"/>
  <c r="EF154" i="1"/>
  <c r="EN154" i="1" s="1"/>
  <c r="ES153" i="1"/>
  <c r="ET153" i="1" s="1"/>
  <c r="ER153" i="1"/>
  <c r="EQ153" i="1"/>
  <c r="EP153" i="1"/>
  <c r="EO153" i="1"/>
  <c r="EM153" i="1"/>
  <c r="EL153" i="1"/>
  <c r="EK153" i="1"/>
  <c r="EJ153" i="1"/>
  <c r="EI153" i="1"/>
  <c r="EH153" i="1"/>
  <c r="EG153" i="1"/>
  <c r="EF153" i="1"/>
  <c r="EN153" i="1" s="1"/>
  <c r="ES152" i="1"/>
  <c r="ET152" i="1" s="1"/>
  <c r="ER152" i="1"/>
  <c r="EQ152" i="1"/>
  <c r="EP152" i="1"/>
  <c r="EO152" i="1"/>
  <c r="EM152" i="1"/>
  <c r="EL152" i="1"/>
  <c r="EK152" i="1"/>
  <c r="EJ152" i="1"/>
  <c r="EI152" i="1"/>
  <c r="EH152" i="1"/>
  <c r="EG152" i="1"/>
  <c r="EF152" i="1"/>
  <c r="ET151" i="1"/>
  <c r="ES151" i="1"/>
  <c r="ER151" i="1"/>
  <c r="EQ151" i="1"/>
  <c r="EP151" i="1"/>
  <c r="EO151" i="1"/>
  <c r="EM151" i="1"/>
  <c r="EL151" i="1"/>
  <c r="EK151" i="1"/>
  <c r="EJ151" i="1"/>
  <c r="EI151" i="1"/>
  <c r="EH151" i="1"/>
  <c r="EG151" i="1"/>
  <c r="EF151" i="1"/>
  <c r="ES150" i="1"/>
  <c r="ET150" i="1" s="1"/>
  <c r="ER150" i="1"/>
  <c r="EQ150" i="1"/>
  <c r="EP150" i="1"/>
  <c r="EO150" i="1"/>
  <c r="EM150" i="1"/>
  <c r="EL150" i="1"/>
  <c r="EK150" i="1"/>
  <c r="EJ150" i="1"/>
  <c r="EN150" i="1" s="1"/>
  <c r="EI150" i="1"/>
  <c r="EH150" i="1"/>
  <c r="EG150" i="1"/>
  <c r="EF150" i="1"/>
  <c r="ES149" i="1"/>
  <c r="ET149" i="1" s="1"/>
  <c r="ER149" i="1"/>
  <c r="EQ149" i="1"/>
  <c r="EP149" i="1"/>
  <c r="EO149" i="1"/>
  <c r="EM149" i="1"/>
  <c r="EL149" i="1"/>
  <c r="EK149" i="1"/>
  <c r="EJ149" i="1"/>
  <c r="EI149" i="1"/>
  <c r="EH149" i="1"/>
  <c r="EG149" i="1"/>
  <c r="EF149" i="1"/>
  <c r="EN149" i="1" s="1"/>
  <c r="ES148" i="1"/>
  <c r="ET148" i="1" s="1"/>
  <c r="ER148" i="1"/>
  <c r="EQ148" i="1"/>
  <c r="EP148" i="1"/>
  <c r="EO148" i="1"/>
  <c r="EM148" i="1"/>
  <c r="EL148" i="1"/>
  <c r="EK148" i="1"/>
  <c r="EJ148" i="1"/>
  <c r="EI148" i="1"/>
  <c r="EH148" i="1"/>
  <c r="EG148" i="1"/>
  <c r="EF148" i="1"/>
  <c r="EN148" i="1" s="1"/>
  <c r="ET147" i="1"/>
  <c r="ES147" i="1"/>
  <c r="ER147" i="1"/>
  <c r="EQ147" i="1"/>
  <c r="EP147" i="1"/>
  <c r="EO147" i="1"/>
  <c r="EM147" i="1"/>
  <c r="EL147" i="1"/>
  <c r="EK147" i="1"/>
  <c r="EJ147" i="1"/>
  <c r="EI147" i="1"/>
  <c r="EH147" i="1"/>
  <c r="EG147" i="1"/>
  <c r="EF147" i="1"/>
  <c r="ET146" i="1"/>
  <c r="ES146" i="1"/>
  <c r="ER146" i="1"/>
  <c r="EQ146" i="1"/>
  <c r="EP146" i="1"/>
  <c r="EO146" i="1"/>
  <c r="EM146" i="1"/>
  <c r="EL146" i="1"/>
  <c r="EK146" i="1"/>
  <c r="EJ146" i="1"/>
  <c r="EI146" i="1"/>
  <c r="EH146" i="1"/>
  <c r="EG146" i="1"/>
  <c r="EF146" i="1"/>
  <c r="EN146" i="1" s="1"/>
  <c r="ES145" i="1"/>
  <c r="ET145" i="1" s="1"/>
  <c r="ER145" i="1"/>
  <c r="EQ145" i="1"/>
  <c r="EP145" i="1"/>
  <c r="EO145" i="1"/>
  <c r="EM145" i="1"/>
  <c r="EL145" i="1"/>
  <c r="EK145" i="1"/>
  <c r="EJ145" i="1"/>
  <c r="EN145" i="1" s="1"/>
  <c r="EI145" i="1"/>
  <c r="EH145" i="1"/>
  <c r="EG145" i="1"/>
  <c r="EF145" i="1"/>
  <c r="ES144" i="1"/>
  <c r="ET144" i="1" s="1"/>
  <c r="ER144" i="1"/>
  <c r="EQ144" i="1"/>
  <c r="EP144" i="1"/>
  <c r="EO144" i="1"/>
  <c r="EM144" i="1"/>
  <c r="EL144" i="1"/>
  <c r="EK144" i="1"/>
  <c r="EJ144" i="1"/>
  <c r="EI144" i="1"/>
  <c r="EH144" i="1"/>
  <c r="EG144" i="1"/>
  <c r="EF144" i="1"/>
  <c r="ES143" i="1"/>
  <c r="ET143" i="1" s="1"/>
  <c r="ER143" i="1"/>
  <c r="EQ143" i="1"/>
  <c r="EP143" i="1"/>
  <c r="EO143" i="1"/>
  <c r="EM143" i="1"/>
  <c r="EL143" i="1"/>
  <c r="EK143" i="1"/>
  <c r="EJ143" i="1"/>
  <c r="EI143" i="1"/>
  <c r="EH143" i="1"/>
  <c r="EG143" i="1"/>
  <c r="EF143" i="1"/>
  <c r="ES142" i="1"/>
  <c r="ET142" i="1" s="1"/>
  <c r="ER142" i="1"/>
  <c r="EQ142" i="1"/>
  <c r="EP142" i="1"/>
  <c r="EO142" i="1"/>
  <c r="EM142" i="1"/>
  <c r="EL142" i="1"/>
  <c r="EK142" i="1"/>
  <c r="EJ142" i="1"/>
  <c r="EI142" i="1"/>
  <c r="EH142" i="1"/>
  <c r="EG142" i="1"/>
  <c r="EF142" i="1"/>
  <c r="EN142" i="1" s="1"/>
  <c r="ES141" i="1"/>
  <c r="ET141" i="1" s="1"/>
  <c r="ER141" i="1"/>
  <c r="EQ141" i="1"/>
  <c r="EP141" i="1"/>
  <c r="EO141" i="1"/>
  <c r="EM141" i="1"/>
  <c r="EL141" i="1"/>
  <c r="EK141" i="1"/>
  <c r="EJ141" i="1"/>
  <c r="EI141" i="1"/>
  <c r="EH141" i="1"/>
  <c r="EG141" i="1"/>
  <c r="EF141" i="1"/>
  <c r="EN141" i="1" s="1"/>
  <c r="ET140" i="1"/>
  <c r="ES140" i="1"/>
  <c r="ER140" i="1"/>
  <c r="EQ140" i="1"/>
  <c r="EP140" i="1"/>
  <c r="EO140" i="1"/>
  <c r="EM140" i="1"/>
  <c r="EL140" i="1"/>
  <c r="EK140" i="1"/>
  <c r="EJ140" i="1"/>
  <c r="EI140" i="1"/>
  <c r="EH140" i="1"/>
  <c r="EG140" i="1"/>
  <c r="EF140" i="1"/>
  <c r="EN140" i="1" s="1"/>
  <c r="ES139" i="1"/>
  <c r="ET139" i="1" s="1"/>
  <c r="ER139" i="1"/>
  <c r="EQ139" i="1"/>
  <c r="EP139" i="1"/>
  <c r="EO139" i="1"/>
  <c r="EM139" i="1"/>
  <c r="EL139" i="1"/>
  <c r="EK139" i="1"/>
  <c r="EJ139" i="1"/>
  <c r="EI139" i="1"/>
  <c r="EH139" i="1"/>
  <c r="EG139" i="1"/>
  <c r="EF139" i="1"/>
  <c r="ES138" i="1"/>
  <c r="ET138" i="1" s="1"/>
  <c r="ER138" i="1"/>
  <c r="EQ138" i="1"/>
  <c r="EP138" i="1"/>
  <c r="EO138" i="1"/>
  <c r="EM138" i="1"/>
  <c r="EL138" i="1"/>
  <c r="EK138" i="1"/>
  <c r="EJ138" i="1"/>
  <c r="EI138" i="1"/>
  <c r="EH138" i="1"/>
  <c r="EG138" i="1"/>
  <c r="EF138" i="1"/>
  <c r="ES137" i="1"/>
  <c r="ET137" i="1" s="1"/>
  <c r="ER137" i="1"/>
  <c r="EQ137" i="1"/>
  <c r="EP137" i="1"/>
  <c r="EO137" i="1"/>
  <c r="EM137" i="1"/>
  <c r="EL137" i="1"/>
  <c r="EK137" i="1"/>
  <c r="EJ137" i="1"/>
  <c r="EI137" i="1"/>
  <c r="EH137" i="1"/>
  <c r="EG137" i="1"/>
  <c r="EF137" i="1"/>
  <c r="ET136" i="1"/>
  <c r="ES136" i="1"/>
  <c r="ER136" i="1"/>
  <c r="EQ136" i="1"/>
  <c r="EP136" i="1"/>
  <c r="EO136" i="1"/>
  <c r="EM136" i="1"/>
  <c r="EL136" i="1"/>
  <c r="EK136" i="1"/>
  <c r="EJ136" i="1"/>
  <c r="EN136" i="1" s="1"/>
  <c r="EI136" i="1"/>
  <c r="EH136" i="1"/>
  <c r="EG136" i="1"/>
  <c r="EF136" i="1"/>
  <c r="ES135" i="1"/>
  <c r="ET135" i="1" s="1"/>
  <c r="ER135" i="1"/>
  <c r="EQ135" i="1"/>
  <c r="EP135" i="1"/>
  <c r="EO135" i="1"/>
  <c r="EM135" i="1"/>
  <c r="EL135" i="1"/>
  <c r="EK135" i="1"/>
  <c r="EJ135" i="1"/>
  <c r="EI135" i="1"/>
  <c r="EH135" i="1"/>
  <c r="EG135" i="1"/>
  <c r="EF135" i="1"/>
  <c r="ES134" i="1"/>
  <c r="ET134" i="1" s="1"/>
  <c r="ER134" i="1"/>
  <c r="EQ134" i="1"/>
  <c r="EP134" i="1"/>
  <c r="EO134" i="1"/>
  <c r="EM134" i="1"/>
  <c r="EL134" i="1"/>
  <c r="EK134" i="1"/>
  <c r="EJ134" i="1"/>
  <c r="EI134" i="1"/>
  <c r="EH134" i="1"/>
  <c r="EG134" i="1"/>
  <c r="EF134" i="1"/>
  <c r="EN134" i="1" s="1"/>
  <c r="ES133" i="1"/>
  <c r="ET133" i="1" s="1"/>
  <c r="ER133" i="1"/>
  <c r="EQ133" i="1"/>
  <c r="EP133" i="1"/>
  <c r="EO133" i="1"/>
  <c r="EM133" i="1"/>
  <c r="EL133" i="1"/>
  <c r="EK133" i="1"/>
  <c r="EJ133" i="1"/>
  <c r="EI133" i="1"/>
  <c r="EH133" i="1"/>
  <c r="EG133" i="1"/>
  <c r="EF133" i="1"/>
  <c r="EN133" i="1" s="1"/>
  <c r="ES132" i="1"/>
  <c r="ET132" i="1" s="1"/>
  <c r="ER132" i="1"/>
  <c r="EQ132" i="1"/>
  <c r="EP132" i="1"/>
  <c r="EO132" i="1"/>
  <c r="EM132" i="1"/>
  <c r="EL132" i="1"/>
  <c r="EK132" i="1"/>
  <c r="EJ132" i="1"/>
  <c r="EI132" i="1"/>
  <c r="EH132" i="1"/>
  <c r="EG132" i="1"/>
  <c r="EF132" i="1"/>
  <c r="ES131" i="1"/>
  <c r="ET131" i="1" s="1"/>
  <c r="ER131" i="1"/>
  <c r="EQ131" i="1"/>
  <c r="EP131" i="1"/>
  <c r="EO131" i="1"/>
  <c r="EM131" i="1"/>
  <c r="EL131" i="1"/>
  <c r="EK131" i="1"/>
  <c r="EJ131" i="1"/>
  <c r="EI131" i="1"/>
  <c r="EH131" i="1"/>
  <c r="EG131" i="1"/>
  <c r="EF131" i="1"/>
  <c r="ES130" i="1"/>
  <c r="ET130" i="1" s="1"/>
  <c r="ER130" i="1"/>
  <c r="EQ130" i="1"/>
  <c r="EP130" i="1"/>
  <c r="EO130" i="1"/>
  <c r="EM130" i="1"/>
  <c r="EL130" i="1"/>
  <c r="EK130" i="1"/>
  <c r="EJ130" i="1"/>
  <c r="EI130" i="1"/>
  <c r="EH130" i="1"/>
  <c r="EG130" i="1"/>
  <c r="EF130" i="1"/>
  <c r="ES129" i="1"/>
  <c r="ET129" i="1" s="1"/>
  <c r="ER129" i="1"/>
  <c r="EQ129" i="1"/>
  <c r="EP129" i="1"/>
  <c r="EO129" i="1"/>
  <c r="EM129" i="1"/>
  <c r="EL129" i="1"/>
  <c r="EK129" i="1"/>
  <c r="EJ129" i="1"/>
  <c r="EI129" i="1"/>
  <c r="EH129" i="1"/>
  <c r="EG129" i="1"/>
  <c r="EF129" i="1"/>
  <c r="ET128" i="1"/>
  <c r="ES128" i="1"/>
  <c r="ER128" i="1"/>
  <c r="EQ128" i="1"/>
  <c r="EP128" i="1"/>
  <c r="EO128" i="1"/>
  <c r="EM128" i="1"/>
  <c r="EL128" i="1"/>
  <c r="EK128" i="1"/>
  <c r="EJ128" i="1"/>
  <c r="EN128" i="1" s="1"/>
  <c r="EI128" i="1"/>
  <c r="EH128" i="1"/>
  <c r="EG128" i="1"/>
  <c r="EF128" i="1"/>
  <c r="ES127" i="1"/>
  <c r="ET127" i="1" s="1"/>
  <c r="ER127" i="1"/>
  <c r="EQ127" i="1"/>
  <c r="EP127" i="1"/>
  <c r="EO127" i="1"/>
  <c r="EM127" i="1"/>
  <c r="EL127" i="1"/>
  <c r="EK127" i="1"/>
  <c r="EJ127" i="1"/>
  <c r="EI127" i="1"/>
  <c r="EH127" i="1"/>
  <c r="EG127" i="1"/>
  <c r="EF127" i="1"/>
  <c r="ES126" i="1"/>
  <c r="ET126" i="1" s="1"/>
  <c r="ER126" i="1"/>
  <c r="EQ126" i="1"/>
  <c r="EP126" i="1"/>
  <c r="EO126" i="1"/>
  <c r="EM126" i="1"/>
  <c r="EL126" i="1"/>
  <c r="EK126" i="1"/>
  <c r="EJ126" i="1"/>
  <c r="EI126" i="1"/>
  <c r="EH126" i="1"/>
  <c r="EG126" i="1"/>
  <c r="EF126" i="1"/>
  <c r="ES125" i="1"/>
  <c r="ET125" i="1" s="1"/>
  <c r="ER125" i="1"/>
  <c r="EQ125" i="1"/>
  <c r="EP125" i="1"/>
  <c r="EO125" i="1"/>
  <c r="EM125" i="1"/>
  <c r="EL125" i="1"/>
  <c r="EK125" i="1"/>
  <c r="EJ125" i="1"/>
  <c r="EI125" i="1"/>
  <c r="EH125" i="1"/>
  <c r="EG125" i="1"/>
  <c r="EF125" i="1"/>
  <c r="ES124" i="1"/>
  <c r="ET124" i="1" s="1"/>
  <c r="ER124" i="1"/>
  <c r="EQ124" i="1"/>
  <c r="EP124" i="1"/>
  <c r="EO124" i="1"/>
  <c r="EM124" i="1"/>
  <c r="EL124" i="1"/>
  <c r="EK124" i="1"/>
  <c r="EJ124" i="1"/>
  <c r="EI124" i="1"/>
  <c r="EH124" i="1"/>
  <c r="EG124" i="1"/>
  <c r="EF124" i="1"/>
  <c r="ES123" i="1"/>
  <c r="ET123" i="1" s="1"/>
  <c r="ER123" i="1"/>
  <c r="EQ123" i="1"/>
  <c r="EP123" i="1"/>
  <c r="EO123" i="1"/>
  <c r="EM123" i="1"/>
  <c r="EL123" i="1"/>
  <c r="EK123" i="1"/>
  <c r="EJ123" i="1"/>
  <c r="EI123" i="1"/>
  <c r="EH123" i="1"/>
  <c r="EG123" i="1"/>
  <c r="EF123" i="1"/>
  <c r="EN123" i="1" s="1"/>
  <c r="ES122" i="1"/>
  <c r="ET122" i="1" s="1"/>
  <c r="ER122" i="1"/>
  <c r="EQ122" i="1"/>
  <c r="EP122" i="1"/>
  <c r="EO122" i="1"/>
  <c r="EM122" i="1"/>
  <c r="EL122" i="1"/>
  <c r="EK122" i="1"/>
  <c r="EJ122" i="1"/>
  <c r="EI122" i="1"/>
  <c r="EH122" i="1"/>
  <c r="EG122" i="1"/>
  <c r="EF122" i="1"/>
  <c r="EN122" i="1" s="1"/>
  <c r="ES121" i="1"/>
  <c r="ET121" i="1" s="1"/>
  <c r="ER121" i="1"/>
  <c r="EQ121" i="1"/>
  <c r="EP121" i="1"/>
  <c r="EO121" i="1"/>
  <c r="EM121" i="1"/>
  <c r="EL121" i="1"/>
  <c r="EK121" i="1"/>
  <c r="EJ121" i="1"/>
  <c r="EI121" i="1"/>
  <c r="EH121" i="1"/>
  <c r="EG121" i="1"/>
  <c r="EF121" i="1"/>
  <c r="ET120" i="1"/>
  <c r="ES120" i="1"/>
  <c r="ER120" i="1"/>
  <c r="EQ120" i="1"/>
  <c r="EP120" i="1"/>
  <c r="EO120" i="1"/>
  <c r="EM120" i="1"/>
  <c r="EL120" i="1"/>
  <c r="EK120" i="1"/>
  <c r="EJ120" i="1"/>
  <c r="EN120" i="1" s="1"/>
  <c r="EI120" i="1"/>
  <c r="EH120" i="1"/>
  <c r="EG120" i="1"/>
  <c r="EF120" i="1"/>
  <c r="ES119" i="1"/>
  <c r="ET119" i="1" s="1"/>
  <c r="ER119" i="1"/>
  <c r="EQ119" i="1"/>
  <c r="EP119" i="1"/>
  <c r="EO119" i="1"/>
  <c r="EM119" i="1"/>
  <c r="EL119" i="1"/>
  <c r="EK119" i="1"/>
  <c r="EJ119" i="1"/>
  <c r="EI119" i="1"/>
  <c r="EH119" i="1"/>
  <c r="EG119" i="1"/>
  <c r="EF119" i="1"/>
  <c r="ES118" i="1"/>
  <c r="ET118" i="1" s="1"/>
  <c r="ER118" i="1"/>
  <c r="EQ118" i="1"/>
  <c r="EP118" i="1"/>
  <c r="EO118" i="1"/>
  <c r="EM118" i="1"/>
  <c r="EL118" i="1"/>
  <c r="EK118" i="1"/>
  <c r="EJ118" i="1"/>
  <c r="EI118" i="1"/>
  <c r="EH118" i="1"/>
  <c r="EG118" i="1"/>
  <c r="EF118" i="1"/>
  <c r="ES117" i="1"/>
  <c r="ET117" i="1" s="1"/>
  <c r="ER117" i="1"/>
  <c r="EQ117" i="1"/>
  <c r="EP117" i="1"/>
  <c r="EO117" i="1"/>
  <c r="EM117" i="1"/>
  <c r="EL117" i="1"/>
  <c r="EK117" i="1"/>
  <c r="EJ117" i="1"/>
  <c r="EI117" i="1"/>
  <c r="EH117" i="1"/>
  <c r="EG117" i="1"/>
  <c r="EF117" i="1"/>
  <c r="ES116" i="1"/>
  <c r="ET116" i="1" s="1"/>
  <c r="ER116" i="1"/>
  <c r="EQ116" i="1"/>
  <c r="EP116" i="1"/>
  <c r="EO116" i="1"/>
  <c r="EM116" i="1"/>
  <c r="EL116" i="1"/>
  <c r="EK116" i="1"/>
  <c r="EJ116" i="1"/>
  <c r="EN116" i="1" s="1"/>
  <c r="EI116" i="1"/>
  <c r="EH116" i="1"/>
  <c r="EG116" i="1"/>
  <c r="EF116" i="1"/>
  <c r="ES115" i="1"/>
  <c r="ET115" i="1" s="1"/>
  <c r="ER115" i="1"/>
  <c r="EQ115" i="1"/>
  <c r="EP115" i="1"/>
  <c r="EO115" i="1"/>
  <c r="EM115" i="1"/>
  <c r="EL115" i="1"/>
  <c r="EK115" i="1"/>
  <c r="EJ115" i="1"/>
  <c r="EI115" i="1"/>
  <c r="EH115" i="1"/>
  <c r="EG115" i="1"/>
  <c r="EF115" i="1"/>
  <c r="EN115" i="1" s="1"/>
  <c r="ES114" i="1"/>
  <c r="ET114" i="1" s="1"/>
  <c r="ER114" i="1"/>
  <c r="EQ114" i="1"/>
  <c r="EP114" i="1"/>
  <c r="EO114" i="1"/>
  <c r="EM114" i="1"/>
  <c r="EL114" i="1"/>
  <c r="EK114" i="1"/>
  <c r="EJ114" i="1"/>
  <c r="EI114" i="1"/>
  <c r="EH114" i="1"/>
  <c r="EG114" i="1"/>
  <c r="EF114" i="1"/>
  <c r="EN114" i="1" s="1"/>
  <c r="ES113" i="1"/>
  <c r="ET113" i="1" s="1"/>
  <c r="ER113" i="1"/>
  <c r="EQ113" i="1"/>
  <c r="EP113" i="1"/>
  <c r="EO113" i="1"/>
  <c r="EM113" i="1"/>
  <c r="EL113" i="1"/>
  <c r="EK113" i="1"/>
  <c r="EJ113" i="1"/>
  <c r="EI113" i="1"/>
  <c r="EH113" i="1"/>
  <c r="EG113" i="1"/>
  <c r="EF113" i="1"/>
  <c r="EN113" i="1" s="1"/>
  <c r="ET112" i="1"/>
  <c r="ES112" i="1"/>
  <c r="ER112" i="1"/>
  <c r="EQ112" i="1"/>
  <c r="EP112" i="1"/>
  <c r="EO112" i="1"/>
  <c r="EM112" i="1"/>
  <c r="EL112" i="1"/>
  <c r="EK112" i="1"/>
  <c r="EJ112" i="1"/>
  <c r="EN112" i="1" s="1"/>
  <c r="EI112" i="1"/>
  <c r="EH112" i="1"/>
  <c r="EG112" i="1"/>
  <c r="EF112" i="1"/>
  <c r="ES111" i="1"/>
  <c r="ET111" i="1" s="1"/>
  <c r="ER111" i="1"/>
  <c r="EQ111" i="1"/>
  <c r="EP111" i="1"/>
  <c r="EO111" i="1"/>
  <c r="EM111" i="1"/>
  <c r="EL111" i="1"/>
  <c r="EK111" i="1"/>
  <c r="EJ111" i="1"/>
  <c r="EI111" i="1"/>
  <c r="EH111" i="1"/>
  <c r="EG111" i="1"/>
  <c r="EF111" i="1"/>
  <c r="ES110" i="1"/>
  <c r="ET110" i="1" s="1"/>
  <c r="ER110" i="1"/>
  <c r="EQ110" i="1"/>
  <c r="EP110" i="1"/>
  <c r="EO110" i="1"/>
  <c r="EM110" i="1"/>
  <c r="EL110" i="1"/>
  <c r="EK110" i="1"/>
  <c r="EJ110" i="1"/>
  <c r="EI110" i="1"/>
  <c r="EH110" i="1"/>
  <c r="EG110" i="1"/>
  <c r="EF110" i="1"/>
  <c r="ES109" i="1"/>
  <c r="ET109" i="1" s="1"/>
  <c r="ER109" i="1"/>
  <c r="EQ109" i="1"/>
  <c r="EP109" i="1"/>
  <c r="EO109" i="1"/>
  <c r="EM109" i="1"/>
  <c r="EL109" i="1"/>
  <c r="EK109" i="1"/>
  <c r="EJ109" i="1"/>
  <c r="EI109" i="1"/>
  <c r="EH109" i="1"/>
  <c r="EG109" i="1"/>
  <c r="EF109" i="1"/>
  <c r="ET108" i="1"/>
  <c r="ES108" i="1"/>
  <c r="ER108" i="1"/>
  <c r="EQ108" i="1"/>
  <c r="EP108" i="1"/>
  <c r="EO108" i="1"/>
  <c r="EM108" i="1"/>
  <c r="EL108" i="1"/>
  <c r="EK108" i="1"/>
  <c r="EJ108" i="1"/>
  <c r="EN108" i="1" s="1"/>
  <c r="EI108" i="1"/>
  <c r="EH108" i="1"/>
  <c r="EG108" i="1"/>
  <c r="EF108" i="1"/>
  <c r="ES107" i="1"/>
  <c r="ET107" i="1" s="1"/>
  <c r="ER107" i="1"/>
  <c r="EQ107" i="1"/>
  <c r="EP107" i="1"/>
  <c r="EO107" i="1"/>
  <c r="EM107" i="1"/>
  <c r="EL107" i="1"/>
  <c r="EK107" i="1"/>
  <c r="EJ107" i="1"/>
  <c r="EI107" i="1"/>
  <c r="EH107" i="1"/>
  <c r="EG107" i="1"/>
  <c r="EF107" i="1"/>
  <c r="ES106" i="1"/>
  <c r="ET106" i="1" s="1"/>
  <c r="ER106" i="1"/>
  <c r="EQ106" i="1"/>
  <c r="EP106" i="1"/>
  <c r="EO106" i="1"/>
  <c r="EM106" i="1"/>
  <c r="EL106" i="1"/>
  <c r="EK106" i="1"/>
  <c r="EJ106" i="1"/>
  <c r="EI106" i="1"/>
  <c r="EH106" i="1"/>
  <c r="EG106" i="1"/>
  <c r="EF106" i="1"/>
  <c r="ES105" i="1"/>
  <c r="ET105" i="1" s="1"/>
  <c r="ER105" i="1"/>
  <c r="EQ105" i="1"/>
  <c r="EP105" i="1"/>
  <c r="EO105" i="1"/>
  <c r="EM105" i="1"/>
  <c r="EL105" i="1"/>
  <c r="EK105" i="1"/>
  <c r="EJ105" i="1"/>
  <c r="EI105" i="1"/>
  <c r="EH105" i="1"/>
  <c r="EG105" i="1"/>
  <c r="EF105" i="1"/>
  <c r="EN105" i="1" s="1"/>
  <c r="ES104" i="1"/>
  <c r="ET104" i="1" s="1"/>
  <c r="ER104" i="1"/>
  <c r="EQ104" i="1"/>
  <c r="EP104" i="1"/>
  <c r="EO104" i="1"/>
  <c r="EM104" i="1"/>
  <c r="EL104" i="1"/>
  <c r="EK104" i="1"/>
  <c r="EJ104" i="1"/>
  <c r="EI104" i="1"/>
  <c r="EH104" i="1"/>
  <c r="EG104" i="1"/>
  <c r="EF104" i="1"/>
  <c r="ES103" i="1"/>
  <c r="ET103" i="1" s="1"/>
  <c r="ER103" i="1"/>
  <c r="EQ103" i="1"/>
  <c r="EP103" i="1"/>
  <c r="EO103" i="1"/>
  <c r="EM103" i="1"/>
  <c r="EL103" i="1"/>
  <c r="EK103" i="1"/>
  <c r="EJ103" i="1"/>
  <c r="EI103" i="1"/>
  <c r="EH103" i="1"/>
  <c r="EG103" i="1"/>
  <c r="EF103" i="1"/>
  <c r="EN103" i="1" s="1"/>
  <c r="ES102" i="1"/>
  <c r="ET102" i="1" s="1"/>
  <c r="ER102" i="1"/>
  <c r="EQ102" i="1"/>
  <c r="EP102" i="1"/>
  <c r="EO102" i="1"/>
  <c r="EM102" i="1"/>
  <c r="EL102" i="1"/>
  <c r="EK102" i="1"/>
  <c r="EJ102" i="1"/>
  <c r="EI102" i="1"/>
  <c r="EH102" i="1"/>
  <c r="EG102" i="1"/>
  <c r="EF102" i="1"/>
  <c r="ES101" i="1"/>
  <c r="ET101" i="1" s="1"/>
  <c r="ER101" i="1"/>
  <c r="EQ101" i="1"/>
  <c r="EP101" i="1"/>
  <c r="EO101" i="1"/>
  <c r="EM101" i="1"/>
  <c r="EL101" i="1"/>
  <c r="EK101" i="1"/>
  <c r="EJ101" i="1"/>
  <c r="EI101" i="1"/>
  <c r="EH101" i="1"/>
  <c r="EG101" i="1"/>
  <c r="EF101" i="1"/>
  <c r="ES100" i="1"/>
  <c r="ET100" i="1" s="1"/>
  <c r="ER100" i="1"/>
  <c r="EQ100" i="1"/>
  <c r="EP100" i="1"/>
  <c r="EO100" i="1"/>
  <c r="EM100" i="1"/>
  <c r="EL100" i="1"/>
  <c r="EK100" i="1"/>
  <c r="EJ100" i="1"/>
  <c r="EN100" i="1" s="1"/>
  <c r="EI100" i="1"/>
  <c r="EH100" i="1"/>
  <c r="EG100" i="1"/>
  <c r="EF100" i="1"/>
  <c r="ES99" i="1"/>
  <c r="ET99" i="1" s="1"/>
  <c r="ER99" i="1"/>
  <c r="EQ99" i="1"/>
  <c r="EP99" i="1"/>
  <c r="EO99" i="1"/>
  <c r="EM99" i="1"/>
  <c r="EL99" i="1"/>
  <c r="EK99" i="1"/>
  <c r="EJ99" i="1"/>
  <c r="EI99" i="1"/>
  <c r="EH99" i="1"/>
  <c r="EG99" i="1"/>
  <c r="EF99" i="1"/>
  <c r="ES98" i="1"/>
  <c r="ET98" i="1" s="1"/>
  <c r="ER98" i="1"/>
  <c r="EQ98" i="1"/>
  <c r="EP98" i="1"/>
  <c r="EO98" i="1"/>
  <c r="EM98" i="1"/>
  <c r="EL98" i="1"/>
  <c r="EK98" i="1"/>
  <c r="EJ98" i="1"/>
  <c r="EI98" i="1"/>
  <c r="EH98" i="1"/>
  <c r="EG98" i="1"/>
  <c r="EF98" i="1"/>
  <c r="ES97" i="1"/>
  <c r="ET97" i="1" s="1"/>
  <c r="ER97" i="1"/>
  <c r="EQ97" i="1"/>
  <c r="EP97" i="1"/>
  <c r="EO97" i="1"/>
  <c r="EM97" i="1"/>
  <c r="EL97" i="1"/>
  <c r="EK97" i="1"/>
  <c r="EJ97" i="1"/>
  <c r="EI97" i="1"/>
  <c r="EH97" i="1"/>
  <c r="EG97" i="1"/>
  <c r="EF97" i="1"/>
  <c r="ES96" i="1"/>
  <c r="ET96" i="1" s="1"/>
  <c r="ER96" i="1"/>
  <c r="EQ96" i="1"/>
  <c r="EP96" i="1"/>
  <c r="EO96" i="1"/>
  <c r="EM96" i="1"/>
  <c r="EL96" i="1"/>
  <c r="EK96" i="1"/>
  <c r="EJ96" i="1"/>
  <c r="EI96" i="1"/>
  <c r="EH96" i="1"/>
  <c r="EG96" i="1"/>
  <c r="EF96" i="1"/>
  <c r="ES95" i="1"/>
  <c r="ET95" i="1" s="1"/>
  <c r="ER95" i="1"/>
  <c r="EQ95" i="1"/>
  <c r="EP95" i="1"/>
  <c r="EO95" i="1"/>
  <c r="EM95" i="1"/>
  <c r="EL95" i="1"/>
  <c r="EK95" i="1"/>
  <c r="EJ95" i="1"/>
  <c r="EI95" i="1"/>
  <c r="EH95" i="1"/>
  <c r="EG95" i="1"/>
  <c r="EF95" i="1"/>
  <c r="EN95" i="1" s="1"/>
  <c r="ES94" i="1"/>
  <c r="ET94" i="1" s="1"/>
  <c r="ER94" i="1"/>
  <c r="EQ94" i="1"/>
  <c r="EP94" i="1"/>
  <c r="EO94" i="1"/>
  <c r="EM94" i="1"/>
  <c r="EL94" i="1"/>
  <c r="EK94" i="1"/>
  <c r="EJ94" i="1"/>
  <c r="EI94" i="1"/>
  <c r="EH94" i="1"/>
  <c r="EG94" i="1"/>
  <c r="EF94" i="1"/>
  <c r="EN94" i="1" s="1"/>
  <c r="ES93" i="1"/>
  <c r="ET93" i="1" s="1"/>
  <c r="ER93" i="1"/>
  <c r="EQ93" i="1"/>
  <c r="EP93" i="1"/>
  <c r="EO93" i="1"/>
  <c r="EM93" i="1"/>
  <c r="EL93" i="1"/>
  <c r="EK93" i="1"/>
  <c r="EJ93" i="1"/>
  <c r="EI93" i="1"/>
  <c r="EH93" i="1"/>
  <c r="EG93" i="1"/>
  <c r="EF93" i="1"/>
  <c r="EN93" i="1" s="1"/>
  <c r="ES92" i="1"/>
  <c r="ET92" i="1" s="1"/>
  <c r="ER92" i="1"/>
  <c r="EQ92" i="1"/>
  <c r="EP92" i="1"/>
  <c r="EO92" i="1"/>
  <c r="EM92" i="1"/>
  <c r="EL92" i="1"/>
  <c r="EK92" i="1"/>
  <c r="EJ92" i="1"/>
  <c r="EN92" i="1" s="1"/>
  <c r="EI92" i="1"/>
  <c r="EH92" i="1"/>
  <c r="EG92" i="1"/>
  <c r="EF92" i="1"/>
  <c r="ES91" i="1"/>
  <c r="ET91" i="1" s="1"/>
  <c r="ER91" i="1"/>
  <c r="EQ91" i="1"/>
  <c r="EP91" i="1"/>
  <c r="EO91" i="1"/>
  <c r="EM91" i="1"/>
  <c r="EL91" i="1"/>
  <c r="EK91" i="1"/>
  <c r="EJ91" i="1"/>
  <c r="EI91" i="1"/>
  <c r="EH91" i="1"/>
  <c r="EG91" i="1"/>
  <c r="EF91" i="1"/>
  <c r="ES90" i="1"/>
  <c r="ET90" i="1" s="1"/>
  <c r="ER90" i="1"/>
  <c r="EQ90" i="1"/>
  <c r="EP90" i="1"/>
  <c r="EO90" i="1"/>
  <c r="EM90" i="1"/>
  <c r="EL90" i="1"/>
  <c r="EK90" i="1"/>
  <c r="EJ90" i="1"/>
  <c r="EI90" i="1"/>
  <c r="EH90" i="1"/>
  <c r="EG90" i="1"/>
  <c r="EF90" i="1"/>
  <c r="ES89" i="1"/>
  <c r="ET89" i="1" s="1"/>
  <c r="ER89" i="1"/>
  <c r="EQ89" i="1"/>
  <c r="EP89" i="1"/>
  <c r="EO89" i="1"/>
  <c r="EM89" i="1"/>
  <c r="EL89" i="1"/>
  <c r="EK89" i="1"/>
  <c r="EJ89" i="1"/>
  <c r="EI89" i="1"/>
  <c r="EH89" i="1"/>
  <c r="EG89" i="1"/>
  <c r="EF89" i="1"/>
  <c r="EN89" i="1" s="1"/>
  <c r="ES88" i="1"/>
  <c r="ET88" i="1" s="1"/>
  <c r="ER88" i="1"/>
  <c r="EQ88" i="1"/>
  <c r="EP88" i="1"/>
  <c r="EO88" i="1"/>
  <c r="EM88" i="1"/>
  <c r="EL88" i="1"/>
  <c r="EK88" i="1"/>
  <c r="EJ88" i="1"/>
  <c r="EN88" i="1" s="1"/>
  <c r="EI88" i="1"/>
  <c r="EH88" i="1"/>
  <c r="EG88" i="1"/>
  <c r="EF88" i="1"/>
  <c r="ES87" i="1"/>
  <c r="ET87" i="1" s="1"/>
  <c r="ER87" i="1"/>
  <c r="EQ87" i="1"/>
  <c r="EP87" i="1"/>
  <c r="EO87" i="1"/>
  <c r="EM87" i="1"/>
  <c r="EL87" i="1"/>
  <c r="EK87" i="1"/>
  <c r="EJ87" i="1"/>
  <c r="EI87" i="1"/>
  <c r="EH87" i="1"/>
  <c r="EG87" i="1"/>
  <c r="EF87" i="1"/>
  <c r="ES86" i="1"/>
  <c r="ET86" i="1" s="1"/>
  <c r="ER86" i="1"/>
  <c r="EQ86" i="1"/>
  <c r="EP86" i="1"/>
  <c r="EO86" i="1"/>
  <c r="EM86" i="1"/>
  <c r="EL86" i="1"/>
  <c r="EK86" i="1"/>
  <c r="EJ86" i="1"/>
  <c r="EI86" i="1"/>
  <c r="EH86" i="1"/>
  <c r="EG86" i="1"/>
  <c r="EF86" i="1"/>
  <c r="ES85" i="1"/>
  <c r="ET85" i="1" s="1"/>
  <c r="ER85" i="1"/>
  <c r="EQ85" i="1"/>
  <c r="EP85" i="1"/>
  <c r="EO85" i="1"/>
  <c r="EM85" i="1"/>
  <c r="EL85" i="1"/>
  <c r="EK85" i="1"/>
  <c r="EJ85" i="1"/>
  <c r="EI85" i="1"/>
  <c r="EH85" i="1"/>
  <c r="EG85" i="1"/>
  <c r="EF85" i="1"/>
  <c r="EN85" i="1" s="1"/>
  <c r="ES84" i="1"/>
  <c r="ET84" i="1" s="1"/>
  <c r="ER84" i="1"/>
  <c r="EQ84" i="1"/>
  <c r="EP84" i="1"/>
  <c r="EO84" i="1"/>
  <c r="EM84" i="1"/>
  <c r="EL84" i="1"/>
  <c r="EK84" i="1"/>
  <c r="EJ84" i="1"/>
  <c r="EI84" i="1"/>
  <c r="EH84" i="1"/>
  <c r="EG84" i="1"/>
  <c r="EF84" i="1"/>
  <c r="ES83" i="1"/>
  <c r="ET83" i="1" s="1"/>
  <c r="ER83" i="1"/>
  <c r="EQ83" i="1"/>
  <c r="EP83" i="1"/>
  <c r="EO83" i="1"/>
  <c r="EM83" i="1"/>
  <c r="EL83" i="1"/>
  <c r="EK83" i="1"/>
  <c r="EJ83" i="1"/>
  <c r="EI83" i="1"/>
  <c r="EH83" i="1"/>
  <c r="EG83" i="1"/>
  <c r="EF83" i="1"/>
  <c r="EN83" i="1" s="1"/>
  <c r="ES82" i="1"/>
  <c r="ET82" i="1" s="1"/>
  <c r="ER82" i="1"/>
  <c r="EQ82" i="1"/>
  <c r="EP82" i="1"/>
  <c r="EO82" i="1"/>
  <c r="EM82" i="1"/>
  <c r="EL82" i="1"/>
  <c r="EK82" i="1"/>
  <c r="EJ82" i="1"/>
  <c r="EI82" i="1"/>
  <c r="EH82" i="1"/>
  <c r="EG82" i="1"/>
  <c r="EF82" i="1"/>
  <c r="EN82" i="1" s="1"/>
  <c r="ES81" i="1"/>
  <c r="ET81" i="1" s="1"/>
  <c r="ER81" i="1"/>
  <c r="EQ81" i="1"/>
  <c r="EP81" i="1"/>
  <c r="EO81" i="1"/>
  <c r="EM81" i="1"/>
  <c r="EL81" i="1"/>
  <c r="EK81" i="1"/>
  <c r="EJ81" i="1"/>
  <c r="EI81" i="1"/>
  <c r="EH81" i="1"/>
  <c r="EG81" i="1"/>
  <c r="EF81" i="1"/>
  <c r="ES80" i="1"/>
  <c r="ET80" i="1" s="1"/>
  <c r="ER80" i="1"/>
  <c r="EQ80" i="1"/>
  <c r="EP80" i="1"/>
  <c r="EO80" i="1"/>
  <c r="EM80" i="1"/>
  <c r="EL80" i="1"/>
  <c r="EK80" i="1"/>
  <c r="EJ80" i="1"/>
  <c r="EN80" i="1" s="1"/>
  <c r="EI80" i="1"/>
  <c r="EH80" i="1"/>
  <c r="EG80" i="1"/>
  <c r="EF80" i="1"/>
  <c r="ES79" i="1"/>
  <c r="ET79" i="1" s="1"/>
  <c r="ER79" i="1"/>
  <c r="EQ79" i="1"/>
  <c r="EP79" i="1"/>
  <c r="EO79" i="1"/>
  <c r="EM79" i="1"/>
  <c r="EL79" i="1"/>
  <c r="EK79" i="1"/>
  <c r="EJ79" i="1"/>
  <c r="EI79" i="1"/>
  <c r="EH79" i="1"/>
  <c r="EG79" i="1"/>
  <c r="EF79" i="1"/>
  <c r="ES78" i="1"/>
  <c r="ET78" i="1" s="1"/>
  <c r="ER78" i="1"/>
  <c r="EQ78" i="1"/>
  <c r="EP78" i="1"/>
  <c r="EO78" i="1"/>
  <c r="EM78" i="1"/>
  <c r="EL78" i="1"/>
  <c r="EK78" i="1"/>
  <c r="EJ78" i="1"/>
  <c r="EI78" i="1"/>
  <c r="EH78" i="1"/>
  <c r="EG78" i="1"/>
  <c r="EF78" i="1"/>
  <c r="ES77" i="1"/>
  <c r="ET77" i="1" s="1"/>
  <c r="ER77" i="1"/>
  <c r="EQ77" i="1"/>
  <c r="EP77" i="1"/>
  <c r="EO77" i="1"/>
  <c r="EM77" i="1"/>
  <c r="EL77" i="1"/>
  <c r="EK77" i="1"/>
  <c r="EJ77" i="1"/>
  <c r="EI77" i="1"/>
  <c r="EH77" i="1"/>
  <c r="EG77" i="1"/>
  <c r="EF77" i="1"/>
  <c r="EN77" i="1" s="1"/>
  <c r="ES76" i="1"/>
  <c r="ET76" i="1" s="1"/>
  <c r="ER76" i="1"/>
  <c r="EQ76" i="1"/>
  <c r="EP76" i="1"/>
  <c r="EO76" i="1"/>
  <c r="EM76" i="1"/>
  <c r="EL76" i="1"/>
  <c r="EK76" i="1"/>
  <c r="EJ76" i="1"/>
  <c r="EN76" i="1" s="1"/>
  <c r="EI76" i="1"/>
  <c r="EH76" i="1"/>
  <c r="EG76" i="1"/>
  <c r="EF76" i="1"/>
  <c r="ES75" i="1"/>
  <c r="ET75" i="1" s="1"/>
  <c r="ER75" i="1"/>
  <c r="EQ75" i="1"/>
  <c r="EP75" i="1"/>
  <c r="EO75" i="1"/>
  <c r="EM75" i="1"/>
  <c r="EL75" i="1"/>
  <c r="EK75" i="1"/>
  <c r="EJ75" i="1"/>
  <c r="EI75" i="1"/>
  <c r="EH75" i="1"/>
  <c r="EG75" i="1"/>
  <c r="EF75" i="1"/>
  <c r="ES74" i="1"/>
  <c r="ET74" i="1" s="1"/>
  <c r="ER74" i="1"/>
  <c r="EQ74" i="1"/>
  <c r="EP74" i="1"/>
  <c r="EO74" i="1"/>
  <c r="EM74" i="1"/>
  <c r="EL74" i="1"/>
  <c r="EK74" i="1"/>
  <c r="EJ74" i="1"/>
  <c r="EI74" i="1"/>
  <c r="EH74" i="1"/>
  <c r="EG74" i="1"/>
  <c r="EF74" i="1"/>
  <c r="ES73" i="1"/>
  <c r="ET73" i="1" s="1"/>
  <c r="ER73" i="1"/>
  <c r="EQ73" i="1"/>
  <c r="EP73" i="1"/>
  <c r="EO73" i="1"/>
  <c r="EM73" i="1"/>
  <c r="EL73" i="1"/>
  <c r="EK73" i="1"/>
  <c r="EJ73" i="1"/>
  <c r="EI73" i="1"/>
  <c r="EH73" i="1"/>
  <c r="EG73" i="1"/>
  <c r="EF73" i="1"/>
  <c r="EN73" i="1" s="1"/>
  <c r="ES72" i="1"/>
  <c r="ET72" i="1" s="1"/>
  <c r="ER72" i="1"/>
  <c r="EQ72" i="1"/>
  <c r="EP72" i="1"/>
  <c r="EO72" i="1"/>
  <c r="EM72" i="1"/>
  <c r="EL72" i="1"/>
  <c r="EK72" i="1"/>
  <c r="EJ72" i="1"/>
  <c r="EI72" i="1"/>
  <c r="EH72" i="1"/>
  <c r="EG72" i="1"/>
  <c r="EF72" i="1"/>
  <c r="ES71" i="1"/>
  <c r="ET71" i="1" s="1"/>
  <c r="ER71" i="1"/>
  <c r="EQ71" i="1"/>
  <c r="EP71" i="1"/>
  <c r="EO71" i="1"/>
  <c r="EM71" i="1"/>
  <c r="EL71" i="1"/>
  <c r="EK71" i="1"/>
  <c r="EJ71" i="1"/>
  <c r="EI71" i="1"/>
  <c r="EH71" i="1"/>
  <c r="EG71" i="1"/>
  <c r="EF71" i="1"/>
  <c r="EN71" i="1" s="1"/>
  <c r="ES70" i="1"/>
  <c r="ET70" i="1" s="1"/>
  <c r="ER70" i="1"/>
  <c r="EQ70" i="1"/>
  <c r="EP70" i="1"/>
  <c r="EO70" i="1"/>
  <c r="EM70" i="1"/>
  <c r="EL70" i="1"/>
  <c r="EK70" i="1"/>
  <c r="EJ70" i="1"/>
  <c r="EI70" i="1"/>
  <c r="EH70" i="1"/>
  <c r="EG70" i="1"/>
  <c r="EF70" i="1"/>
  <c r="EN70" i="1" s="1"/>
  <c r="ES69" i="1"/>
  <c r="ET69" i="1" s="1"/>
  <c r="ER69" i="1"/>
  <c r="EQ69" i="1"/>
  <c r="EP69" i="1"/>
  <c r="EO69" i="1"/>
  <c r="EM69" i="1"/>
  <c r="EL69" i="1"/>
  <c r="EK69" i="1"/>
  <c r="EJ69" i="1"/>
  <c r="EI69" i="1"/>
  <c r="EH69" i="1"/>
  <c r="EG69" i="1"/>
  <c r="EF69" i="1"/>
  <c r="ES68" i="1"/>
  <c r="ET68" i="1" s="1"/>
  <c r="ER68" i="1"/>
  <c r="EQ68" i="1"/>
  <c r="EP68" i="1"/>
  <c r="EO68" i="1"/>
  <c r="EM68" i="1"/>
  <c r="EL68" i="1"/>
  <c r="EK68" i="1"/>
  <c r="EJ68" i="1"/>
  <c r="EN68" i="1" s="1"/>
  <c r="EI68" i="1"/>
  <c r="EH68" i="1"/>
  <c r="EG68" i="1"/>
  <c r="EF68" i="1"/>
  <c r="ES67" i="1"/>
  <c r="ET67" i="1" s="1"/>
  <c r="ER67" i="1"/>
  <c r="EQ67" i="1"/>
  <c r="EP67" i="1"/>
  <c r="EO67" i="1"/>
  <c r="EM67" i="1"/>
  <c r="EL67" i="1"/>
  <c r="EK67" i="1"/>
  <c r="EJ67" i="1"/>
  <c r="EI67" i="1"/>
  <c r="EH67" i="1"/>
  <c r="EG67" i="1"/>
  <c r="EF67" i="1"/>
  <c r="ES66" i="1"/>
  <c r="ET66" i="1" s="1"/>
  <c r="ER66" i="1"/>
  <c r="EQ66" i="1"/>
  <c r="EP66" i="1"/>
  <c r="EO66" i="1"/>
  <c r="EM66" i="1"/>
  <c r="EL66" i="1"/>
  <c r="EK66" i="1"/>
  <c r="EJ66" i="1"/>
  <c r="EI66" i="1"/>
  <c r="EH66" i="1"/>
  <c r="EG66" i="1"/>
  <c r="EF66" i="1"/>
  <c r="ES65" i="1"/>
  <c r="ET65" i="1" s="1"/>
  <c r="ER65" i="1"/>
  <c r="EQ65" i="1"/>
  <c r="EP65" i="1"/>
  <c r="EO65" i="1"/>
  <c r="EM65" i="1"/>
  <c r="EL65" i="1"/>
  <c r="EK65" i="1"/>
  <c r="EJ65" i="1"/>
  <c r="EI65" i="1"/>
  <c r="EH65" i="1"/>
  <c r="EG65" i="1"/>
  <c r="EF65" i="1"/>
  <c r="EN65" i="1" s="1"/>
  <c r="ES64" i="1"/>
  <c r="ET64" i="1" s="1"/>
  <c r="ER64" i="1"/>
  <c r="EQ64" i="1"/>
  <c r="EP64" i="1"/>
  <c r="EO64" i="1"/>
  <c r="EM64" i="1"/>
  <c r="EL64" i="1"/>
  <c r="EK64" i="1"/>
  <c r="EJ64" i="1"/>
  <c r="EN64" i="1" s="1"/>
  <c r="EI64" i="1"/>
  <c r="EH64" i="1"/>
  <c r="EG64" i="1"/>
  <c r="EF64" i="1"/>
  <c r="ES63" i="1"/>
  <c r="ET63" i="1" s="1"/>
  <c r="ER63" i="1"/>
  <c r="EQ63" i="1"/>
  <c r="EP63" i="1"/>
  <c r="EO63" i="1"/>
  <c r="EM63" i="1"/>
  <c r="EL63" i="1"/>
  <c r="EK63" i="1"/>
  <c r="EJ63" i="1"/>
  <c r="EI63" i="1"/>
  <c r="EH63" i="1"/>
  <c r="EG63" i="1"/>
  <c r="EF63" i="1"/>
  <c r="ES62" i="1"/>
  <c r="ET62" i="1" s="1"/>
  <c r="ER62" i="1"/>
  <c r="EQ62" i="1"/>
  <c r="EP62" i="1"/>
  <c r="EO62" i="1"/>
  <c r="EM62" i="1"/>
  <c r="EL62" i="1"/>
  <c r="EK62" i="1"/>
  <c r="EJ62" i="1"/>
  <c r="EI62" i="1"/>
  <c r="EH62" i="1"/>
  <c r="EG62" i="1"/>
  <c r="EF62" i="1"/>
  <c r="ES61" i="1"/>
  <c r="ET61" i="1" s="1"/>
  <c r="ER61" i="1"/>
  <c r="EQ61" i="1"/>
  <c r="EP61" i="1"/>
  <c r="EO61" i="1"/>
  <c r="EM61" i="1"/>
  <c r="EL61" i="1"/>
  <c r="EK61" i="1"/>
  <c r="EJ61" i="1"/>
  <c r="EI61" i="1"/>
  <c r="EH61" i="1"/>
  <c r="EG61" i="1"/>
  <c r="EF61" i="1"/>
  <c r="EN61" i="1" s="1"/>
  <c r="ES60" i="1"/>
  <c r="ET60" i="1" s="1"/>
  <c r="ER60" i="1"/>
  <c r="EQ60" i="1"/>
  <c r="EP60" i="1"/>
  <c r="EO60" i="1"/>
  <c r="EM60" i="1"/>
  <c r="EL60" i="1"/>
  <c r="EK60" i="1"/>
  <c r="EJ60" i="1"/>
  <c r="EI60" i="1"/>
  <c r="EH60" i="1"/>
  <c r="EG60" i="1"/>
  <c r="EF60" i="1"/>
  <c r="ES59" i="1"/>
  <c r="ET59" i="1" s="1"/>
  <c r="ER59" i="1"/>
  <c r="EQ59" i="1"/>
  <c r="EP59" i="1"/>
  <c r="EO59" i="1"/>
  <c r="EM59" i="1"/>
  <c r="EL59" i="1"/>
  <c r="EK59" i="1"/>
  <c r="EJ59" i="1"/>
  <c r="EI59" i="1"/>
  <c r="EH59" i="1"/>
  <c r="EG59" i="1"/>
  <c r="EF59" i="1"/>
  <c r="EN59" i="1" s="1"/>
  <c r="ES58" i="1"/>
  <c r="ET58" i="1" s="1"/>
  <c r="ER58" i="1"/>
  <c r="EQ58" i="1"/>
  <c r="EP58" i="1"/>
  <c r="EO58" i="1"/>
  <c r="EM58" i="1"/>
  <c r="EL58" i="1"/>
  <c r="EK58" i="1"/>
  <c r="EJ58" i="1"/>
  <c r="EI58" i="1"/>
  <c r="EH58" i="1"/>
  <c r="EG58" i="1"/>
  <c r="EF58" i="1"/>
  <c r="EN58" i="1" s="1"/>
  <c r="ES57" i="1"/>
  <c r="ET57" i="1" s="1"/>
  <c r="ER57" i="1"/>
  <c r="EQ57" i="1"/>
  <c r="EP57" i="1"/>
  <c r="EO57" i="1"/>
  <c r="EM57" i="1"/>
  <c r="EL57" i="1"/>
  <c r="EK57" i="1"/>
  <c r="EJ57" i="1"/>
  <c r="EI57" i="1"/>
  <c r="EH57" i="1"/>
  <c r="EG57" i="1"/>
  <c r="EF57" i="1"/>
  <c r="ES56" i="1"/>
  <c r="ET56" i="1" s="1"/>
  <c r="ER56" i="1"/>
  <c r="EQ56" i="1"/>
  <c r="EP56" i="1"/>
  <c r="EO56" i="1"/>
  <c r="EM56" i="1"/>
  <c r="EL56" i="1"/>
  <c r="EK56" i="1"/>
  <c r="EJ56" i="1"/>
  <c r="EN56" i="1" s="1"/>
  <c r="EI56" i="1"/>
  <c r="EH56" i="1"/>
  <c r="EG56" i="1"/>
  <c r="EF56" i="1"/>
  <c r="ES55" i="1"/>
  <c r="ET55" i="1" s="1"/>
  <c r="ER55" i="1"/>
  <c r="EQ55" i="1"/>
  <c r="EP55" i="1"/>
  <c r="EO55" i="1"/>
  <c r="EM55" i="1"/>
  <c r="EL55" i="1"/>
  <c r="EK55" i="1"/>
  <c r="EJ55" i="1"/>
  <c r="EI55" i="1"/>
  <c r="EH55" i="1"/>
  <c r="EG55" i="1"/>
  <c r="EF55" i="1"/>
  <c r="ES54" i="1"/>
  <c r="ET54" i="1" s="1"/>
  <c r="ER54" i="1"/>
  <c r="EQ54" i="1"/>
  <c r="EP54" i="1"/>
  <c r="EO54" i="1"/>
  <c r="EM54" i="1"/>
  <c r="EL54" i="1"/>
  <c r="EK54" i="1"/>
  <c r="EJ54" i="1"/>
  <c r="EI54" i="1"/>
  <c r="EH54" i="1"/>
  <c r="EG54" i="1"/>
  <c r="EF54" i="1"/>
  <c r="ES53" i="1"/>
  <c r="ET53" i="1" s="1"/>
  <c r="ER53" i="1"/>
  <c r="EQ53" i="1"/>
  <c r="EP53" i="1"/>
  <c r="EO53" i="1"/>
  <c r="EM53" i="1"/>
  <c r="EL53" i="1"/>
  <c r="EK53" i="1"/>
  <c r="EJ53" i="1"/>
  <c r="EI53" i="1"/>
  <c r="EH53" i="1"/>
  <c r="EG53" i="1"/>
  <c r="EF53" i="1"/>
  <c r="EN53" i="1" s="1"/>
  <c r="ES52" i="1"/>
  <c r="ET52" i="1" s="1"/>
  <c r="ER52" i="1"/>
  <c r="EQ52" i="1"/>
  <c r="EP52" i="1"/>
  <c r="EO52" i="1"/>
  <c r="EM52" i="1"/>
  <c r="EL52" i="1"/>
  <c r="EK52" i="1"/>
  <c r="EJ52" i="1"/>
  <c r="EN52" i="1" s="1"/>
  <c r="EI52" i="1"/>
  <c r="EH52" i="1"/>
  <c r="EG52" i="1"/>
  <c r="EF52" i="1"/>
  <c r="ES51" i="1"/>
  <c r="ET51" i="1" s="1"/>
  <c r="ER51" i="1"/>
  <c r="EQ51" i="1"/>
  <c r="EP51" i="1"/>
  <c r="EO51" i="1"/>
  <c r="EM51" i="1"/>
  <c r="EL51" i="1"/>
  <c r="EK51" i="1"/>
  <c r="EJ51" i="1"/>
  <c r="EI51" i="1"/>
  <c r="EH51" i="1"/>
  <c r="EG51" i="1"/>
  <c r="EF51" i="1"/>
  <c r="ES50" i="1"/>
  <c r="ET50" i="1" s="1"/>
  <c r="ER50" i="1"/>
  <c r="EQ50" i="1"/>
  <c r="EP50" i="1"/>
  <c r="EO50" i="1"/>
  <c r="EM50" i="1"/>
  <c r="EL50" i="1"/>
  <c r="EK50" i="1"/>
  <c r="EJ50" i="1"/>
  <c r="EI50" i="1"/>
  <c r="EH50" i="1"/>
  <c r="EG50" i="1"/>
  <c r="EF50" i="1"/>
  <c r="ES49" i="1"/>
  <c r="ET49" i="1" s="1"/>
  <c r="ER49" i="1"/>
  <c r="EQ49" i="1"/>
  <c r="EP49" i="1"/>
  <c r="EO49" i="1"/>
  <c r="EM49" i="1"/>
  <c r="EL49" i="1"/>
  <c r="EK49" i="1"/>
  <c r="EJ49" i="1"/>
  <c r="EI49" i="1"/>
  <c r="EH49" i="1"/>
  <c r="EG49" i="1"/>
  <c r="EF49" i="1"/>
  <c r="EN49" i="1" s="1"/>
  <c r="ES48" i="1"/>
  <c r="ET48" i="1" s="1"/>
  <c r="ER48" i="1"/>
  <c r="EQ48" i="1"/>
  <c r="EP48" i="1"/>
  <c r="EO48" i="1"/>
  <c r="EM48" i="1"/>
  <c r="EL48" i="1"/>
  <c r="EK48" i="1"/>
  <c r="EJ48" i="1"/>
  <c r="EI48" i="1"/>
  <c r="EH48" i="1"/>
  <c r="EG48" i="1"/>
  <c r="EF48" i="1"/>
  <c r="ES47" i="1"/>
  <c r="ET47" i="1" s="1"/>
  <c r="ER47" i="1"/>
  <c r="EQ47" i="1"/>
  <c r="EP47" i="1"/>
  <c r="EO47" i="1"/>
  <c r="EM47" i="1"/>
  <c r="EL47" i="1"/>
  <c r="EK47" i="1"/>
  <c r="EJ47" i="1"/>
  <c r="EI47" i="1"/>
  <c r="EH47" i="1"/>
  <c r="EG47" i="1"/>
  <c r="EF47" i="1"/>
  <c r="EN47" i="1" s="1"/>
  <c r="ES46" i="1"/>
  <c r="ET46" i="1" s="1"/>
  <c r="ER46" i="1"/>
  <c r="EQ46" i="1"/>
  <c r="EP46" i="1"/>
  <c r="EO46" i="1"/>
  <c r="EM46" i="1"/>
  <c r="EL46" i="1"/>
  <c r="EK46" i="1"/>
  <c r="EJ46" i="1"/>
  <c r="EI46" i="1"/>
  <c r="EH46" i="1"/>
  <c r="EG46" i="1"/>
  <c r="EF46" i="1"/>
  <c r="EN46" i="1" s="1"/>
  <c r="ES45" i="1"/>
  <c r="ET45" i="1" s="1"/>
  <c r="ER45" i="1"/>
  <c r="EQ45" i="1"/>
  <c r="EP45" i="1"/>
  <c r="EO45" i="1"/>
  <c r="EM45" i="1"/>
  <c r="EL45" i="1"/>
  <c r="EK45" i="1"/>
  <c r="EJ45" i="1"/>
  <c r="EI45" i="1"/>
  <c r="EH45" i="1"/>
  <c r="EG45" i="1"/>
  <c r="EF45" i="1"/>
  <c r="ES44" i="1"/>
  <c r="ET44" i="1" s="1"/>
  <c r="ER44" i="1"/>
  <c r="EQ44" i="1"/>
  <c r="EP44" i="1"/>
  <c r="EO44" i="1"/>
  <c r="EM44" i="1"/>
  <c r="EL44" i="1"/>
  <c r="EK44" i="1"/>
  <c r="EJ44" i="1"/>
  <c r="EN44" i="1" s="1"/>
  <c r="EI44" i="1"/>
  <c r="EH44" i="1"/>
  <c r="EG44" i="1"/>
  <c r="EF44" i="1"/>
  <c r="ES43" i="1"/>
  <c r="ET43" i="1" s="1"/>
  <c r="ER43" i="1"/>
  <c r="EQ43" i="1"/>
  <c r="EP43" i="1"/>
  <c r="EO43" i="1"/>
  <c r="EM43" i="1"/>
  <c r="EL43" i="1"/>
  <c r="EK43" i="1"/>
  <c r="EJ43" i="1"/>
  <c r="EI43" i="1"/>
  <c r="EH43" i="1"/>
  <c r="EG43" i="1"/>
  <c r="EF43" i="1"/>
  <c r="ES42" i="1"/>
  <c r="ET42" i="1" s="1"/>
  <c r="ER42" i="1"/>
  <c r="EQ42" i="1"/>
  <c r="EP42" i="1"/>
  <c r="EO42" i="1"/>
  <c r="EM42" i="1"/>
  <c r="EL42" i="1"/>
  <c r="EK42" i="1"/>
  <c r="EJ42" i="1"/>
  <c r="EI42" i="1"/>
  <c r="EH42" i="1"/>
  <c r="EG42" i="1"/>
  <c r="EF42" i="1"/>
  <c r="ES41" i="1"/>
  <c r="ET41" i="1" s="1"/>
  <c r="ER41" i="1"/>
  <c r="EQ41" i="1"/>
  <c r="EP41" i="1"/>
  <c r="EO41" i="1"/>
  <c r="EM41" i="1"/>
  <c r="EL41" i="1"/>
  <c r="EK41" i="1"/>
  <c r="EJ41" i="1"/>
  <c r="EI41" i="1"/>
  <c r="EH41" i="1"/>
  <c r="EG41" i="1"/>
  <c r="EF41" i="1"/>
  <c r="EN41" i="1" s="1"/>
  <c r="ES40" i="1"/>
  <c r="ET40" i="1" s="1"/>
  <c r="ER40" i="1"/>
  <c r="EQ40" i="1"/>
  <c r="EP40" i="1"/>
  <c r="EO40" i="1"/>
  <c r="EM40" i="1"/>
  <c r="EL40" i="1"/>
  <c r="EK40" i="1"/>
  <c r="EJ40" i="1"/>
  <c r="EN40" i="1" s="1"/>
  <c r="EI40" i="1"/>
  <c r="EH40" i="1"/>
  <c r="EG40" i="1"/>
  <c r="EF40" i="1"/>
  <c r="ES39" i="1"/>
  <c r="ET39" i="1" s="1"/>
  <c r="ER39" i="1"/>
  <c r="EQ39" i="1"/>
  <c r="EP39" i="1"/>
  <c r="EO39" i="1"/>
  <c r="EM39" i="1"/>
  <c r="EL39" i="1"/>
  <c r="EK39" i="1"/>
  <c r="EJ39" i="1"/>
  <c r="EI39" i="1"/>
  <c r="EH39" i="1"/>
  <c r="EG39" i="1"/>
  <c r="EF39" i="1"/>
  <c r="ES38" i="1"/>
  <c r="ET38" i="1" s="1"/>
  <c r="ER38" i="1"/>
  <c r="EQ38" i="1"/>
  <c r="EP38" i="1"/>
  <c r="EO38" i="1"/>
  <c r="EM38" i="1"/>
  <c r="EL38" i="1"/>
  <c r="EK38" i="1"/>
  <c r="EJ38" i="1"/>
  <c r="EI38" i="1"/>
  <c r="EH38" i="1"/>
  <c r="EG38" i="1"/>
  <c r="EF38" i="1"/>
  <c r="ES37" i="1"/>
  <c r="ET37" i="1" s="1"/>
  <c r="ER37" i="1"/>
  <c r="EQ37" i="1"/>
  <c r="EP37" i="1"/>
  <c r="EO37" i="1"/>
  <c r="EM37" i="1"/>
  <c r="EL37" i="1"/>
  <c r="EK37" i="1"/>
  <c r="EJ37" i="1"/>
  <c r="EI37" i="1"/>
  <c r="EH37" i="1"/>
  <c r="EG37" i="1"/>
  <c r="EF37" i="1"/>
  <c r="EN37" i="1" s="1"/>
  <c r="ES36" i="1"/>
  <c r="ET36" i="1" s="1"/>
  <c r="ER36" i="1"/>
  <c r="EQ36" i="1"/>
  <c r="EP36" i="1"/>
  <c r="EO36" i="1"/>
  <c r="EM36" i="1"/>
  <c r="EL36" i="1"/>
  <c r="EK36" i="1"/>
  <c r="EJ36" i="1"/>
  <c r="EI36" i="1"/>
  <c r="EH36" i="1"/>
  <c r="EG36" i="1"/>
  <c r="EF36" i="1"/>
  <c r="ES35" i="1"/>
  <c r="ET35" i="1" s="1"/>
  <c r="ER35" i="1"/>
  <c r="EQ35" i="1"/>
  <c r="EP35" i="1"/>
  <c r="EO35" i="1"/>
  <c r="EM35" i="1"/>
  <c r="EL35" i="1"/>
  <c r="EK35" i="1"/>
  <c r="EJ35" i="1"/>
  <c r="EI35" i="1"/>
  <c r="EH35" i="1"/>
  <c r="EG35" i="1"/>
  <c r="EF35" i="1"/>
  <c r="EN35" i="1" s="1"/>
  <c r="ES34" i="1"/>
  <c r="ET34" i="1" s="1"/>
  <c r="ER34" i="1"/>
  <c r="EQ34" i="1"/>
  <c r="EP34" i="1"/>
  <c r="EO34" i="1"/>
  <c r="EM34" i="1"/>
  <c r="EL34" i="1"/>
  <c r="EK34" i="1"/>
  <c r="EJ34" i="1"/>
  <c r="EI34" i="1"/>
  <c r="EH34" i="1"/>
  <c r="EG34" i="1"/>
  <c r="EF34" i="1"/>
  <c r="EN34" i="1" s="1"/>
  <c r="ES33" i="1"/>
  <c r="ET33" i="1" s="1"/>
  <c r="ER33" i="1"/>
  <c r="EQ33" i="1"/>
  <c r="EP33" i="1"/>
  <c r="EO33" i="1"/>
  <c r="EM33" i="1"/>
  <c r="EL33" i="1"/>
  <c r="EK33" i="1"/>
  <c r="EJ33" i="1"/>
  <c r="EI33" i="1"/>
  <c r="EH33" i="1"/>
  <c r="EG33" i="1"/>
  <c r="EF33" i="1"/>
  <c r="ES32" i="1"/>
  <c r="ET32" i="1" s="1"/>
  <c r="ER32" i="1"/>
  <c r="EQ32" i="1"/>
  <c r="EP32" i="1"/>
  <c r="EO32" i="1"/>
  <c r="EM32" i="1"/>
  <c r="EL32" i="1"/>
  <c r="EK32" i="1"/>
  <c r="EJ32" i="1"/>
  <c r="EN32" i="1" s="1"/>
  <c r="EI32" i="1"/>
  <c r="EH32" i="1"/>
  <c r="EG32" i="1"/>
  <c r="EF32" i="1"/>
  <c r="ES31" i="1"/>
  <c r="ET31" i="1" s="1"/>
  <c r="ER31" i="1"/>
  <c r="EQ31" i="1"/>
  <c r="EP31" i="1"/>
  <c r="EO31" i="1"/>
  <c r="EM31" i="1"/>
  <c r="EL31" i="1"/>
  <c r="EK31" i="1"/>
  <c r="EJ31" i="1"/>
  <c r="EI31" i="1"/>
  <c r="EH31" i="1"/>
  <c r="EG31" i="1"/>
  <c r="EF31" i="1"/>
  <c r="ES30" i="1"/>
  <c r="ET30" i="1" s="1"/>
  <c r="ER30" i="1"/>
  <c r="EQ30" i="1"/>
  <c r="EP30" i="1"/>
  <c r="EO30" i="1"/>
  <c r="EM30" i="1"/>
  <c r="EL30" i="1"/>
  <c r="EK30" i="1"/>
  <c r="EJ30" i="1"/>
  <c r="EI30" i="1"/>
  <c r="EH30" i="1"/>
  <c r="EG30" i="1"/>
  <c r="EF30" i="1"/>
  <c r="ES29" i="1"/>
  <c r="ET29" i="1" s="1"/>
  <c r="ER29" i="1"/>
  <c r="EQ29" i="1"/>
  <c r="EP29" i="1"/>
  <c r="EO29" i="1"/>
  <c r="EM29" i="1"/>
  <c r="EL29" i="1"/>
  <c r="EK29" i="1"/>
  <c r="EJ29" i="1"/>
  <c r="EI29" i="1"/>
  <c r="EH29" i="1"/>
  <c r="EG29" i="1"/>
  <c r="EF29" i="1"/>
  <c r="EN29" i="1" s="1"/>
  <c r="ES28" i="1"/>
  <c r="ET28" i="1" s="1"/>
  <c r="ER28" i="1"/>
  <c r="EQ28" i="1"/>
  <c r="EP28" i="1"/>
  <c r="EO28" i="1"/>
  <c r="EM28" i="1"/>
  <c r="EL28" i="1"/>
  <c r="EK28" i="1"/>
  <c r="EJ28" i="1"/>
  <c r="EN28" i="1" s="1"/>
  <c r="EI28" i="1"/>
  <c r="EH28" i="1"/>
  <c r="EG28" i="1"/>
  <c r="EF28" i="1"/>
  <c r="ES27" i="1"/>
  <c r="ET27" i="1" s="1"/>
  <c r="ER27" i="1"/>
  <c r="EQ27" i="1"/>
  <c r="EP27" i="1"/>
  <c r="EO27" i="1"/>
  <c r="EM27" i="1"/>
  <c r="EL27" i="1"/>
  <c r="EK27" i="1"/>
  <c r="EJ27" i="1"/>
  <c r="EI27" i="1"/>
  <c r="EH27" i="1"/>
  <c r="EG27" i="1"/>
  <c r="EF27" i="1"/>
  <c r="ES26" i="1"/>
  <c r="ET26" i="1" s="1"/>
  <c r="ER26" i="1"/>
  <c r="EQ26" i="1"/>
  <c r="EP26" i="1"/>
  <c r="EO26" i="1"/>
  <c r="EM26" i="1"/>
  <c r="EL26" i="1"/>
  <c r="EK26" i="1"/>
  <c r="EJ26" i="1"/>
  <c r="EI26" i="1"/>
  <c r="EH26" i="1"/>
  <c r="EG26" i="1"/>
  <c r="EF26" i="1"/>
  <c r="ES25" i="1"/>
  <c r="ET25" i="1" s="1"/>
  <c r="ER25" i="1"/>
  <c r="EQ25" i="1"/>
  <c r="EP25" i="1"/>
  <c r="EO25" i="1"/>
  <c r="EM25" i="1"/>
  <c r="EL25" i="1"/>
  <c r="EK25" i="1"/>
  <c r="EJ25" i="1"/>
  <c r="EI25" i="1"/>
  <c r="EH25" i="1"/>
  <c r="EG25" i="1"/>
  <c r="EF25" i="1"/>
  <c r="EN25" i="1" s="1"/>
  <c r="ES24" i="1"/>
  <c r="ET24" i="1" s="1"/>
  <c r="ER24" i="1"/>
  <c r="EQ24" i="1"/>
  <c r="EP24" i="1"/>
  <c r="EO24" i="1"/>
  <c r="EM24" i="1"/>
  <c r="EL24" i="1"/>
  <c r="EK24" i="1"/>
  <c r="EJ24" i="1"/>
  <c r="EI24" i="1"/>
  <c r="EH24" i="1"/>
  <c r="EG24" i="1"/>
  <c r="EF24" i="1"/>
  <c r="ES23" i="1"/>
  <c r="ET23" i="1" s="1"/>
  <c r="ER23" i="1"/>
  <c r="EQ23" i="1"/>
  <c r="EP23" i="1"/>
  <c r="EO23" i="1"/>
  <c r="EM23" i="1"/>
  <c r="EL23" i="1"/>
  <c r="EK23" i="1"/>
  <c r="EJ23" i="1"/>
  <c r="EI23" i="1"/>
  <c r="EH23" i="1"/>
  <c r="EG23" i="1"/>
  <c r="EF23" i="1"/>
  <c r="EN23" i="1" s="1"/>
  <c r="ES22" i="1"/>
  <c r="ET22" i="1" s="1"/>
  <c r="ER22" i="1"/>
  <c r="EQ22" i="1"/>
  <c r="EP22" i="1"/>
  <c r="EO22" i="1"/>
  <c r="EM22" i="1"/>
  <c r="EL22" i="1"/>
  <c r="EK22" i="1"/>
  <c r="EJ22" i="1"/>
  <c r="EI22" i="1"/>
  <c r="EH22" i="1"/>
  <c r="EG22" i="1"/>
  <c r="EF22" i="1"/>
  <c r="EN22" i="1" s="1"/>
  <c r="ES21" i="1"/>
  <c r="ET21" i="1" s="1"/>
  <c r="ER21" i="1"/>
  <c r="EQ21" i="1"/>
  <c r="EP21" i="1"/>
  <c r="EO21" i="1"/>
  <c r="EM21" i="1"/>
  <c r="EL21" i="1"/>
  <c r="EK21" i="1"/>
  <c r="EJ21" i="1"/>
  <c r="EI21" i="1"/>
  <c r="EH21" i="1"/>
  <c r="EG21" i="1"/>
  <c r="EF21" i="1"/>
  <c r="ES20" i="1"/>
  <c r="ET20" i="1" s="1"/>
  <c r="ER20" i="1"/>
  <c r="EQ20" i="1"/>
  <c r="EP20" i="1"/>
  <c r="EO20" i="1"/>
  <c r="EM20" i="1"/>
  <c r="EL20" i="1"/>
  <c r="EK20" i="1"/>
  <c r="EJ20" i="1"/>
  <c r="EN20" i="1" s="1"/>
  <c r="EI20" i="1"/>
  <c r="EH20" i="1"/>
  <c r="EG20" i="1"/>
  <c r="EF20" i="1"/>
  <c r="ES19" i="1"/>
  <c r="ET19" i="1" s="1"/>
  <c r="ER19" i="1"/>
  <c r="EQ19" i="1"/>
  <c r="EP19" i="1"/>
  <c r="EO19" i="1"/>
  <c r="EM19" i="1"/>
  <c r="EL19" i="1"/>
  <c r="EK19" i="1"/>
  <c r="EJ19" i="1"/>
  <c r="EI19" i="1"/>
  <c r="EH19" i="1"/>
  <c r="EG19" i="1"/>
  <c r="EF19" i="1"/>
  <c r="ES18" i="1"/>
  <c r="ET18" i="1" s="1"/>
  <c r="ER18" i="1"/>
  <c r="EQ18" i="1"/>
  <c r="EP18" i="1"/>
  <c r="EO18" i="1"/>
  <c r="EM18" i="1"/>
  <c r="EL18" i="1"/>
  <c r="EK18" i="1"/>
  <c r="EJ18" i="1"/>
  <c r="EI18" i="1"/>
  <c r="EH18" i="1"/>
  <c r="EG18" i="1"/>
  <c r="EF18" i="1"/>
  <c r="ES17" i="1"/>
  <c r="ET17" i="1" s="1"/>
  <c r="ER17" i="1"/>
  <c r="EQ17" i="1"/>
  <c r="EP17" i="1"/>
  <c r="EO17" i="1"/>
  <c r="EM17" i="1"/>
  <c r="EL17" i="1"/>
  <c r="EK17" i="1"/>
  <c r="EJ17" i="1"/>
  <c r="EI17" i="1"/>
  <c r="EH17" i="1"/>
  <c r="EG17" i="1"/>
  <c r="EF17" i="1"/>
  <c r="EN17" i="1" s="1"/>
  <c r="ES16" i="1"/>
  <c r="ET16" i="1" s="1"/>
  <c r="ER16" i="1"/>
  <c r="EQ16" i="1"/>
  <c r="EP16" i="1"/>
  <c r="EO16" i="1"/>
  <c r="EM16" i="1"/>
  <c r="EL16" i="1"/>
  <c r="EK16" i="1"/>
  <c r="EJ16" i="1"/>
  <c r="EN16" i="1" s="1"/>
  <c r="EI16" i="1"/>
  <c r="EH16" i="1"/>
  <c r="EG16" i="1"/>
  <c r="EF16" i="1"/>
  <c r="ES15" i="1"/>
  <c r="ET15" i="1" s="1"/>
  <c r="ER15" i="1"/>
  <c r="EQ15" i="1"/>
  <c r="EP15" i="1"/>
  <c r="EO15" i="1"/>
  <c r="EM15" i="1"/>
  <c r="EL15" i="1"/>
  <c r="EK15" i="1"/>
  <c r="EJ15" i="1"/>
  <c r="EI15" i="1"/>
  <c r="EH15" i="1"/>
  <c r="EG15" i="1"/>
  <c r="EF15" i="1"/>
  <c r="ES14" i="1"/>
  <c r="ET14" i="1" s="1"/>
  <c r="ER14" i="1"/>
  <c r="EQ14" i="1"/>
  <c r="EP14" i="1"/>
  <c r="EO14" i="1"/>
  <c r="EM14" i="1"/>
  <c r="EL14" i="1"/>
  <c r="EK14" i="1"/>
  <c r="EJ14" i="1"/>
  <c r="EI14" i="1"/>
  <c r="EH14" i="1"/>
  <c r="EG14" i="1"/>
  <c r="EF14" i="1"/>
  <c r="ES13" i="1"/>
  <c r="ET13" i="1" s="1"/>
  <c r="ER13" i="1"/>
  <c r="EQ13" i="1"/>
  <c r="EP13" i="1"/>
  <c r="EO13" i="1"/>
  <c r="EM13" i="1"/>
  <c r="EL13" i="1"/>
  <c r="EK13" i="1"/>
  <c r="EJ13" i="1"/>
  <c r="EI13" i="1"/>
  <c r="EH13" i="1"/>
  <c r="EG13" i="1"/>
  <c r="EF13" i="1"/>
  <c r="EN13" i="1" s="1"/>
  <c r="ES12" i="1"/>
  <c r="ET12" i="1" s="1"/>
  <c r="ER12" i="1"/>
  <c r="EQ12" i="1"/>
  <c r="EP12" i="1"/>
  <c r="EO12" i="1"/>
  <c r="EM12" i="1"/>
  <c r="EL12" i="1"/>
  <c r="EK12" i="1"/>
  <c r="EJ12" i="1"/>
  <c r="EI12" i="1"/>
  <c r="EH12" i="1"/>
  <c r="EG12" i="1"/>
  <c r="EF12" i="1"/>
  <c r="ES11" i="1"/>
  <c r="ET11" i="1" s="1"/>
  <c r="ER11" i="1"/>
  <c r="EQ11" i="1"/>
  <c r="EP11" i="1"/>
  <c r="EO11" i="1"/>
  <c r="EM11" i="1"/>
  <c r="EL11" i="1"/>
  <c r="EK11" i="1"/>
  <c r="EJ11" i="1"/>
  <c r="EI11" i="1"/>
  <c r="EH11" i="1"/>
  <c r="EG11" i="1"/>
  <c r="EF11" i="1"/>
  <c r="ES10" i="1"/>
  <c r="ET10" i="1" s="1"/>
  <c r="ER10" i="1"/>
  <c r="EQ10" i="1"/>
  <c r="EP10" i="1"/>
  <c r="EO10" i="1"/>
  <c r="EM10" i="1"/>
  <c r="EL10" i="1"/>
  <c r="EK10" i="1"/>
  <c r="EJ10" i="1"/>
  <c r="EI10" i="1"/>
  <c r="EH10" i="1"/>
  <c r="EG10" i="1"/>
  <c r="EF10" i="1"/>
  <c r="ES9" i="1"/>
  <c r="ET9" i="1" s="1"/>
  <c r="ER9" i="1"/>
  <c r="EQ9" i="1"/>
  <c r="EP9" i="1"/>
  <c r="EO9" i="1"/>
  <c r="EM9" i="1"/>
  <c r="EL9" i="1"/>
  <c r="EK9" i="1"/>
  <c r="EJ9" i="1"/>
  <c r="EI9" i="1"/>
  <c r="EH9" i="1"/>
  <c r="EG9" i="1"/>
  <c r="EF9" i="1"/>
  <c r="ES8" i="1"/>
  <c r="ET8" i="1" s="1"/>
  <c r="ER8" i="1"/>
  <c r="EQ8" i="1"/>
  <c r="EP8" i="1"/>
  <c r="EO8" i="1"/>
  <c r="EM8" i="1"/>
  <c r="EL8" i="1"/>
  <c r="EK8" i="1"/>
  <c r="EJ8" i="1"/>
  <c r="EI8" i="1"/>
  <c r="EH8" i="1"/>
  <c r="EG8" i="1"/>
  <c r="EF8" i="1"/>
  <c r="ES7" i="1"/>
  <c r="ET7" i="1" s="1"/>
  <c r="ER7" i="1"/>
  <c r="EQ7" i="1"/>
  <c r="EP7" i="1"/>
  <c r="EO7" i="1"/>
  <c r="EM7" i="1"/>
  <c r="EL7" i="1"/>
  <c r="EK7" i="1"/>
  <c r="EJ7" i="1"/>
  <c r="EI7" i="1"/>
  <c r="EH7" i="1"/>
  <c r="EG7" i="1"/>
  <c r="EF7" i="1"/>
  <c r="ES6" i="1"/>
  <c r="ET6" i="1" s="1"/>
  <c r="ER6" i="1"/>
  <c r="EQ6" i="1"/>
  <c r="EP6" i="1"/>
  <c r="EO6" i="1"/>
  <c r="EM6" i="1"/>
  <c r="EL6" i="1"/>
  <c r="EK6" i="1"/>
  <c r="EJ6" i="1"/>
  <c r="EI6" i="1"/>
  <c r="EH6" i="1"/>
  <c r="EG6" i="1"/>
  <c r="EF6" i="1"/>
  <c r="ES5" i="1"/>
  <c r="ET5" i="1" s="1"/>
  <c r="ER5" i="1"/>
  <c r="EQ5" i="1"/>
  <c r="EP5" i="1"/>
  <c r="EO5" i="1"/>
  <c r="EM5" i="1"/>
  <c r="EL5" i="1"/>
  <c r="EK5" i="1"/>
  <c r="EJ5" i="1"/>
  <c r="EI5" i="1"/>
  <c r="EH5" i="1"/>
  <c r="EG5" i="1"/>
  <c r="EF5" i="1"/>
  <c r="ES4" i="1"/>
  <c r="ET4" i="1" s="1"/>
  <c r="ER4" i="1"/>
  <c r="EQ4" i="1"/>
  <c r="EP4" i="1"/>
  <c r="EO4" i="1"/>
  <c r="EM4" i="1"/>
  <c r="EL4" i="1"/>
  <c r="EK4" i="1"/>
  <c r="EJ4" i="1"/>
  <c r="EI4" i="1"/>
  <c r="EH4" i="1"/>
  <c r="EG4" i="1"/>
  <c r="EF4" i="1"/>
  <c r="ES3" i="1"/>
  <c r="ET3" i="1" s="1"/>
  <c r="ER3" i="1"/>
  <c r="EQ3" i="1"/>
  <c r="EP3" i="1"/>
  <c r="EO3" i="1"/>
  <c r="EM3" i="1"/>
  <c r="EL3" i="1"/>
  <c r="EK3" i="1"/>
  <c r="EJ3" i="1"/>
  <c r="EI3" i="1"/>
  <c r="EH3" i="1"/>
  <c r="EG3" i="1"/>
  <c r="EF3" i="1"/>
  <c r="ES2" i="1"/>
  <c r="ET2" i="1" s="1"/>
  <c r="ER2" i="1"/>
  <c r="EQ2" i="1"/>
  <c r="EP2" i="1"/>
  <c r="EO2" i="1"/>
  <c r="EM2" i="1"/>
  <c r="EL2" i="1"/>
  <c r="EK2" i="1"/>
  <c r="EJ2" i="1"/>
  <c r="EI2" i="1"/>
  <c r="EH2" i="1"/>
  <c r="EG2" i="1"/>
  <c r="EF2" i="1"/>
  <c r="EN101" i="1" l="1"/>
  <c r="EN111" i="1"/>
  <c r="EN130" i="1"/>
  <c r="EN168" i="1"/>
  <c r="EN247" i="1"/>
  <c r="EN255" i="1"/>
  <c r="EN263" i="1"/>
  <c r="EN271" i="1"/>
  <c r="EN279" i="1"/>
  <c r="EN287" i="1"/>
  <c r="EN292" i="1"/>
  <c r="EN301" i="1"/>
  <c r="EN21" i="1"/>
  <c r="EN33" i="1"/>
  <c r="EN45" i="1"/>
  <c r="EN57" i="1"/>
  <c r="EN69" i="1"/>
  <c r="EN81" i="1"/>
  <c r="EN102" i="1"/>
  <c r="EN121" i="1"/>
  <c r="EN131" i="1"/>
  <c r="EN177" i="1"/>
  <c r="EN216" i="1"/>
  <c r="EN224" i="1"/>
  <c r="EN233" i="1"/>
  <c r="EN14" i="1"/>
  <c r="EN26" i="1"/>
  <c r="EN38" i="1"/>
  <c r="EN50" i="1"/>
  <c r="EN62" i="1"/>
  <c r="EN74" i="1"/>
  <c r="EN86" i="1"/>
  <c r="EN106" i="1"/>
  <c r="EN125" i="1"/>
  <c r="EN132" i="1"/>
  <c r="EN135" i="1"/>
  <c r="EN156" i="1"/>
  <c r="EN229" i="1"/>
  <c r="EN243" i="1"/>
  <c r="EN251" i="1"/>
  <c r="EN15" i="1"/>
  <c r="EN27" i="1"/>
  <c r="EN39" i="1"/>
  <c r="EN51" i="1"/>
  <c r="EN63" i="1"/>
  <c r="EN75" i="1"/>
  <c r="EN87" i="1"/>
  <c r="EN97" i="1"/>
  <c r="EN104" i="1"/>
  <c r="EN107" i="1"/>
  <c r="EN126" i="1"/>
  <c r="EN143" i="1"/>
  <c r="EN165" i="1"/>
  <c r="EN197" i="1"/>
  <c r="EN220" i="1"/>
  <c r="EN291" i="1"/>
  <c r="EN296" i="1"/>
  <c r="EN305" i="1"/>
  <c r="EN24" i="1"/>
  <c r="EN36" i="1"/>
  <c r="EN48" i="1"/>
  <c r="EN60" i="1"/>
  <c r="EN72" i="1"/>
  <c r="EN84" i="1"/>
  <c r="EN98" i="1"/>
  <c r="EN117" i="1"/>
  <c r="EN124" i="1"/>
  <c r="EN127" i="1"/>
  <c r="EN144" i="1"/>
  <c r="EN158" i="1"/>
  <c r="EN212" i="1"/>
  <c r="EN228" i="1"/>
  <c r="EN96" i="1"/>
  <c r="EN99" i="1"/>
  <c r="EN118" i="1"/>
  <c r="EN137" i="1"/>
  <c r="EN174" i="1"/>
  <c r="EN196" i="1"/>
  <c r="EN304" i="1"/>
  <c r="EN18" i="1"/>
  <c r="EN30" i="1"/>
  <c r="EN42" i="1"/>
  <c r="EN54" i="1"/>
  <c r="EN66" i="1"/>
  <c r="EN78" i="1"/>
  <c r="EN90" i="1"/>
  <c r="EN109" i="1"/>
  <c r="EN119" i="1"/>
  <c r="EN138" i="1"/>
  <c r="EN152" i="1"/>
  <c r="EN159" i="1"/>
  <c r="EN183" i="1"/>
  <c r="EN293" i="1"/>
  <c r="EN19" i="1"/>
  <c r="EN31" i="1"/>
  <c r="EN43" i="1"/>
  <c r="EN55" i="1"/>
  <c r="EN67" i="1"/>
  <c r="EN79" i="1"/>
  <c r="EN91" i="1"/>
  <c r="EN110" i="1"/>
  <c r="EN129" i="1"/>
  <c r="EN139" i="1"/>
  <c r="EN167" i="1"/>
  <c r="EN176" i="1"/>
  <c r="EN191" i="1"/>
  <c r="EN239" i="1"/>
  <c r="EN307" i="1"/>
  <c r="EN205" i="1"/>
  <c r="EN213" i="1"/>
  <c r="EN221" i="1"/>
  <c r="EN155" i="1"/>
  <c r="EN199" i="1"/>
  <c r="EN161" i="1"/>
  <c r="EN151" i="1"/>
  <c r="EN207" i="1"/>
  <c r="EN215" i="1"/>
  <c r="EN147" i="1"/>
  <c r="EN201" i="1"/>
  <c r="EN157" i="1"/>
  <c r="EN163" i="1"/>
  <c r="EN169" i="1"/>
  <c r="EN175" i="1"/>
  <c r="EN181" i="1"/>
  <c r="EN187" i="1"/>
  <c r="EN209" i="1"/>
  <c r="EN217" i="1"/>
  <c r="EN225" i="1"/>
  <c r="EN12" i="1"/>
  <c r="EN11" i="1"/>
  <c r="EN10" i="1"/>
  <c r="EN9" i="1"/>
  <c r="EN8" i="1"/>
  <c r="EN7" i="1"/>
  <c r="EN6" i="1"/>
  <c r="EN5" i="1"/>
  <c r="EN4" i="1"/>
  <c r="EN3" i="1"/>
  <c r="EN2" i="1"/>
</calcChain>
</file>

<file path=xl/sharedStrings.xml><?xml version="1.0" encoding="utf-8"?>
<sst xmlns="http://schemas.openxmlformats.org/spreadsheetml/2006/main" count="150" uniqueCount="150">
  <si>
    <t>書面審査番号</t>
  </si>
  <si>
    <t>契約書発行回数</t>
  </si>
  <si>
    <t>契約書タイプ区分</t>
    <phoneticPr fontId="4"/>
  </si>
  <si>
    <t>見積番号</t>
  </si>
  <si>
    <t>案件番号</t>
  </si>
  <si>
    <t>会社コード</t>
  </si>
  <si>
    <t>契約先企業コード</t>
  </si>
  <si>
    <t>契約先事業所コード</t>
  </si>
  <si>
    <t>書面目的区分</t>
  </si>
  <si>
    <t>書面審査依頼番号</t>
  </si>
  <si>
    <t>契約ID</t>
  </si>
  <si>
    <t>契約番号</t>
  </si>
  <si>
    <t>契約締結年月日</t>
  </si>
  <si>
    <t>顧客契約番号</t>
  </si>
  <si>
    <t>納入依頼区分</t>
  </si>
  <si>
    <t>契約プロセス区分</t>
  </si>
  <si>
    <t>契約プロセス名</t>
  </si>
  <si>
    <t>契約種類カテゴリ区分</t>
  </si>
  <si>
    <t>契約種類カテゴリ名</t>
  </si>
  <si>
    <t>契約種類区分</t>
  </si>
  <si>
    <t>契約種類名</t>
  </si>
  <si>
    <t>契約書名</t>
  </si>
  <si>
    <t>テンプレート化対象フラグ</t>
  </si>
  <si>
    <t>契約書タイプ名</t>
  </si>
  <si>
    <t>注文書売上可否フラグ</t>
  </si>
  <si>
    <t>契約書回収予定年月日</t>
  </si>
  <si>
    <t>再書面審査識別フラグ</t>
  </si>
  <si>
    <t>会社名</t>
  </si>
  <si>
    <t>販社コード</t>
  </si>
  <si>
    <t>販社名</t>
  </si>
  <si>
    <t>課所コード</t>
  </si>
  <si>
    <t>課所名</t>
  </si>
  <si>
    <t>課所代表電話番号</t>
  </si>
  <si>
    <t>受注担当セールス社員コード</t>
  </si>
  <si>
    <t>受注担当セールス社員名</t>
  </si>
  <si>
    <t>解約元契約番号</t>
  </si>
  <si>
    <t>契約先企業名</t>
  </si>
  <si>
    <t>契約先事業所名</t>
  </si>
  <si>
    <t>契約先事業所代表電話番号</t>
  </si>
  <si>
    <t>契約先部門コード</t>
  </si>
  <si>
    <t>契約先部門名</t>
  </si>
  <si>
    <t>契約先企事部コード</t>
  </si>
  <si>
    <t>契約先顧客コード</t>
  </si>
  <si>
    <t>受注売上先サイトコード</t>
  </si>
  <si>
    <t>書面税込合計金額</t>
  </si>
  <si>
    <t>注文書識別フラグ</t>
  </si>
  <si>
    <t>代売直売フラグ</t>
  </si>
  <si>
    <t>見積明細売上対象書面フラグ</t>
  </si>
  <si>
    <t>単価適正チェック対象書面フラグ</t>
  </si>
  <si>
    <t>トナー込別フラグ</t>
  </si>
  <si>
    <t>オーバーリース率</t>
  </si>
  <si>
    <t>オーバーリースD/F番号</t>
  </si>
  <si>
    <t>基準外回収条件D/F番号</t>
  </si>
  <si>
    <t>OSO商品有無フラグ</t>
  </si>
  <si>
    <t>書面審査実施結果区分</t>
  </si>
  <si>
    <t>書面審査結果コメント</t>
  </si>
  <si>
    <t>指定商品未承認識別フラグ</t>
  </si>
  <si>
    <t>指定商品確認日時</t>
  </si>
  <si>
    <t>オーバーリースD/F未承認識別フラグ</t>
  </si>
  <si>
    <t>オーバーリースD/F確認日時</t>
  </si>
  <si>
    <t>基準外回収条件D/F未承認識別フラグ</t>
  </si>
  <si>
    <t>基準外回収条件D/F確認日時</t>
  </si>
  <si>
    <t>原本審査要否フラグ</t>
  </si>
  <si>
    <t>原本審査確認日時</t>
  </si>
  <si>
    <t>法務担当審査未承認識別フラグ</t>
  </si>
  <si>
    <t>書面審査後確認コメント</t>
  </si>
  <si>
    <t>書面審査実施会社コード</t>
  </si>
  <si>
    <t>書面審査実施会社名</t>
  </si>
  <si>
    <t>書面審査実施販社コード</t>
  </si>
  <si>
    <t>書面審査実施販社名</t>
  </si>
  <si>
    <t>書面審査実施課所コード</t>
  </si>
  <si>
    <t>書面審査実施課所名</t>
  </si>
  <si>
    <t>書面審査実施社員コード</t>
  </si>
  <si>
    <t>書面審査実施社員名</t>
  </si>
  <si>
    <t>書面審査実施日時</t>
  </si>
  <si>
    <t>指定商品対象識別区分</t>
  </si>
  <si>
    <t>指定商品審査申請番号</t>
  </si>
  <si>
    <t>書面審査依頼コメント</t>
  </si>
  <si>
    <t>書面審査依頼会社コード</t>
  </si>
  <si>
    <t>書面審査依頼会社名</t>
  </si>
  <si>
    <t>書面審査依頼販社コード</t>
  </si>
  <si>
    <t>書面審査依頼販社名</t>
  </si>
  <si>
    <t>書面審査依頼課所コード</t>
  </si>
  <si>
    <t>書面審査依頼課所名</t>
  </si>
  <si>
    <t>書面審査依頼社員コード</t>
  </si>
  <si>
    <t>書面審査依頼社員名</t>
  </si>
  <si>
    <t>書面審査依頼承認会社コード</t>
  </si>
  <si>
    <t>書面審査依頼承認会社名</t>
  </si>
  <si>
    <t>書面審査依頼承認販社コード</t>
  </si>
  <si>
    <t>書面審査依頼承認販社名</t>
  </si>
  <si>
    <t>書面審査依頼承認課所コード</t>
  </si>
  <si>
    <t>書面審査依頼承認課所名</t>
  </si>
  <si>
    <t>書面審査依頼承認社員コード</t>
  </si>
  <si>
    <t>書面審査依頼承認社員名</t>
  </si>
  <si>
    <t>書面審査依頼日時</t>
  </si>
  <si>
    <t>書面審査ステータス</t>
  </si>
  <si>
    <t>書面審査実施CUBIC部門コード</t>
  </si>
  <si>
    <t>書面審査依頼CUBIC部門コード</t>
  </si>
  <si>
    <t>書面審査依頼承認CUBIC部門コード</t>
  </si>
  <si>
    <t>受注担当セールスRINGS社員コード</t>
  </si>
  <si>
    <t>書面審査実施RINGS社員コード</t>
  </si>
  <si>
    <t>書面審査依頼RINGS社員コード</t>
  </si>
  <si>
    <t>書面審査依頼承認RINGS社員コード</t>
  </si>
  <si>
    <t>受注担当セールスNS社員コード</t>
  </si>
  <si>
    <t>書面審査実施NS社員コード</t>
  </si>
  <si>
    <t>書面審査依頼NS社員コード</t>
  </si>
  <si>
    <t>書面審査依頼承認NS社員コード</t>
  </si>
  <si>
    <t>CUBIC部門コード</t>
  </si>
  <si>
    <t>基本契約有無フラグ</t>
  </si>
  <si>
    <t>ITKeeper専用帳票要否フラグ</t>
  </si>
  <si>
    <t>地域コード</t>
  </si>
  <si>
    <t>納品参考商品コード</t>
  </si>
  <si>
    <t>納品参考商品名</t>
  </si>
  <si>
    <t>書面審査開始日時</t>
  </si>
  <si>
    <t>契約種類表示カテゴリ区分</t>
  </si>
  <si>
    <t>契約種類グループ区分</t>
  </si>
  <si>
    <t>作成者ID</t>
  </si>
  <si>
    <t>作成日時</t>
  </si>
  <si>
    <t>最終更新者ID</t>
  </si>
  <si>
    <t>最終更新日時</t>
  </si>
  <si>
    <t>作成-日</t>
  </si>
  <si>
    <t>作成-時</t>
  </si>
  <si>
    <t>作成-分</t>
  </si>
  <si>
    <t>作成-秒</t>
  </si>
  <si>
    <t>最終-日</t>
  </si>
  <si>
    <t>最終-時</t>
  </si>
  <si>
    <t>最終-分</t>
  </si>
  <si>
    <t>最終-秒</t>
  </si>
  <si>
    <t>待ち(10M)</t>
  </si>
  <si>
    <t>登録-日</t>
  </si>
  <si>
    <t>登録-時</t>
  </si>
  <si>
    <t>登録-分</t>
  </si>
  <si>
    <t>登録-秒</t>
  </si>
  <si>
    <t>wｋ1</t>
  </si>
  <si>
    <t>審査処理時間(分）</t>
  </si>
  <si>
    <t>書面審査番号</t>
    <phoneticPr fontId="1"/>
  </si>
  <si>
    <t>書面審査実施項目コード</t>
    <phoneticPr fontId="1"/>
  </si>
  <si>
    <t>書面審査依頼番号</t>
    <phoneticPr fontId="1"/>
  </si>
  <si>
    <t>書面審査実施項目名</t>
    <phoneticPr fontId="1"/>
  </si>
  <si>
    <t>書面審査実施カテゴリコード</t>
    <phoneticPr fontId="1"/>
  </si>
  <si>
    <t>書面審査実施カテゴリ名</t>
    <phoneticPr fontId="1"/>
  </si>
  <si>
    <t>書面審査実施項目コメント</t>
    <phoneticPr fontId="1"/>
  </si>
  <si>
    <t>書面内容不備有無フラグ</t>
    <phoneticPr fontId="1"/>
  </si>
  <si>
    <t>書面審査実施チェック内容</t>
    <phoneticPr fontId="1"/>
  </si>
  <si>
    <t>書面審査実施項目表示順序</t>
    <phoneticPr fontId="1"/>
  </si>
  <si>
    <t>作成者ID</t>
    <phoneticPr fontId="1"/>
  </si>
  <si>
    <t>作成日時</t>
    <phoneticPr fontId="1"/>
  </si>
  <si>
    <t>最終更新者ID</t>
    <phoneticPr fontId="1"/>
  </si>
  <si>
    <t>最終更新日時</t>
    <phoneticPr fontId="1"/>
  </si>
  <si>
    <t>書面審査実施必須対象フラグ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</si>
</sst>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_ 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3" xfId="0" applyNumberFormat="1" applyBorder="1">
      <alignment vertical="center"/>
    </xf>
    <xf numFmtId="3" fontId="0" fillId="0" borderId="3" xfId="0" applyNumberFormat="1" applyBorder="1">
      <alignment vertical="center"/>
    </xf>
    <xf numFmtId="176" fontId="6" fillId="0" borderId="3" xfId="0" applyNumberFormat="1" applyFont="1" applyBorder="1">
      <alignment vertical="center"/>
    </xf>
    <xf numFmtId="1" fontId="6" fillId="0" borderId="3" xfId="0" applyNumberFormat="1" applyFont="1" applyBorder="1">
      <alignment vertical="center"/>
    </xf>
    <xf numFmtId="177" fontId="6" fillId="0" borderId="3" xfId="0" applyNumberFormat="1" applyFont="1" applyBorder="1">
      <alignment vertical="center"/>
    </xf>
    <xf numFmtId="49" fontId="0" fillId="0" borderId="3" xfId="0" applyNumberFormat="1" applyBorder="1" applyAlignment="1">
      <alignment vertical="center" wrapText="1"/>
    </xf>
    <xf numFmtId="49" fontId="3" fillId="2" borderId="1" xfId="1" applyNumberFormat="1" applyFont="1" applyFill="1" applyBorder="1" applyAlignment="1">
      <alignment horizontal="left" vertical="top"/>
    </xf>
    <xf numFmtId="49" fontId="3" fillId="3" borderId="1" xfId="1" applyNumberFormat="1" applyFont="1" applyFill="1" applyBorder="1" applyAlignment="1">
      <alignment horizontal="left" vertical="top"/>
    </xf>
    <xf numFmtId="176" fontId="5" fillId="2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left"/>
    </xf>
  </cellXfs>
  <cellStyles count="2">
    <cellStyle name="標準" xfId="0" builtinId="0"/>
    <cellStyle name="標準_データ項目一覧" xfId="1" xr:uid="{1165426A-EAE1-4ED6-B5A3-120EFF6DD4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CD8BA-7F50-4948-BC51-5EA031F909AC}">
  <sheetPr codeName="Sheet1"/>
  <dimension ref="A1:ET307"/>
  <sheetViews>
    <sheetView tabSelected="1" workbookViewId="0">
      <pane ySplit="1" topLeftCell="A2" activePane="bottomLeft" state="frozen"/>
      <selection pane="bottomLeft"/>
    </sheetView>
  </sheetViews>
  <sheetFormatPr defaultRowHeight="18.75" x14ac:dyDescent="0.4"/>
  <cols>
    <col min="1" max="1" width="16.75" bestFit="1" customWidth="1"/>
    <col min="2" max="2" width="13.125" bestFit="1" customWidth="1"/>
    <col min="3" max="3" width="13.875" bestFit="1" customWidth="1"/>
    <col min="4" max="4" width="13" bestFit="1" customWidth="1"/>
    <col min="5" max="5" width="17.25" bestFit="1" customWidth="1"/>
    <col min="6" max="6" width="8.625" bestFit="1" customWidth="1"/>
    <col min="7" max="8" width="17.25" bestFit="1" customWidth="1"/>
    <col min="9" max="9" width="11.375" bestFit="1" customWidth="1"/>
    <col min="10" max="11" width="17.25" bestFit="1" customWidth="1"/>
    <col min="12" max="12" width="13.875" bestFit="1" customWidth="1"/>
    <col min="13" max="13" width="13.125" bestFit="1" customWidth="1"/>
    <col min="14" max="15" width="11.375" bestFit="1" customWidth="1"/>
    <col min="16" max="16" width="14.125" bestFit="1" customWidth="1"/>
    <col min="17" max="17" width="19.25" bestFit="1" customWidth="1"/>
    <col min="18" max="18" width="17.5" bestFit="1" customWidth="1"/>
    <col min="19" max="19" width="19.25" bestFit="1" customWidth="1"/>
    <col min="20" max="20" width="11.375" bestFit="1" customWidth="1"/>
    <col min="21" max="22" width="38" bestFit="1" customWidth="1"/>
    <col min="23" max="23" width="19.375" bestFit="1" customWidth="1"/>
    <col min="24" max="24" width="38" bestFit="1" customWidth="1"/>
    <col min="25" max="25" width="17.625" bestFit="1" customWidth="1"/>
    <col min="26" max="26" width="18.625" bestFit="1" customWidth="1"/>
    <col min="27" max="27" width="17.625" bestFit="1" customWidth="1"/>
    <col min="28" max="28" width="15.125" bestFit="1" customWidth="1"/>
    <col min="29" max="29" width="8.625" bestFit="1" customWidth="1"/>
    <col min="30" max="30" width="21.375" bestFit="1" customWidth="1"/>
    <col min="31" max="31" width="8.625" bestFit="1" customWidth="1"/>
    <col min="32" max="32" width="96" bestFit="1" customWidth="1"/>
    <col min="33" max="33" width="15" bestFit="1" customWidth="1"/>
    <col min="34" max="34" width="22.5" bestFit="1" customWidth="1"/>
    <col min="35" max="35" width="20" bestFit="1" customWidth="1"/>
    <col min="36" max="36" width="13.125" bestFit="1" customWidth="1"/>
    <col min="37" max="37" width="37.875" bestFit="1" customWidth="1"/>
    <col min="38" max="38" width="31.625" bestFit="1" customWidth="1"/>
    <col min="39" max="39" width="22.25" bestFit="1" customWidth="1"/>
    <col min="40" max="40" width="17.25" bestFit="1" customWidth="1"/>
    <col min="41" max="41" width="11.375" bestFit="1" customWidth="1"/>
    <col min="42" max="43" width="17.25" bestFit="1" customWidth="1"/>
    <col min="44" max="44" width="18.125" bestFit="1" customWidth="1"/>
    <col min="45" max="45" width="15" bestFit="1" customWidth="1"/>
    <col min="46" max="46" width="14" bestFit="1" customWidth="1"/>
    <col min="47" max="47" width="12.25" bestFit="1" customWidth="1"/>
    <col min="48" max="48" width="23" bestFit="1" customWidth="1"/>
    <col min="49" max="49" width="25" bestFit="1" customWidth="1"/>
    <col min="50" max="50" width="13" bestFit="1" customWidth="1"/>
    <col min="51" max="51" width="13.875" bestFit="1" customWidth="1"/>
    <col min="52" max="52" width="18.75" bestFit="1" customWidth="1"/>
    <col min="53" max="53" width="19.875" bestFit="1" customWidth="1"/>
    <col min="54" max="54" width="15.875" bestFit="1" customWidth="1"/>
    <col min="55" max="55" width="18.625" bestFit="1" customWidth="1"/>
    <col min="56" max="56" width="25.5" bestFit="1" customWidth="1"/>
    <col min="57" max="57" width="21.25" bestFit="1" customWidth="1"/>
    <col min="58" max="58" width="15" bestFit="1" customWidth="1"/>
    <col min="59" max="59" width="28.625" bestFit="1" customWidth="1"/>
    <col min="60" max="60" width="22.375" bestFit="1" customWidth="1"/>
    <col min="61" max="61" width="29.625" bestFit="1" customWidth="1"/>
    <col min="62" max="62" width="23.5" bestFit="1" customWidth="1"/>
    <col min="63" max="63" width="15.875" bestFit="1" customWidth="1"/>
    <col min="64" max="64" width="15" bestFit="1" customWidth="1"/>
    <col min="65" max="65" width="24.875" bestFit="1" customWidth="1"/>
    <col min="66" max="66" width="18.5" bestFit="1" customWidth="1"/>
    <col min="67" max="67" width="19.25" bestFit="1" customWidth="1"/>
    <col min="68" max="68" width="16.75" bestFit="1" customWidth="1"/>
    <col min="69" max="69" width="19.25" bestFit="1" customWidth="1"/>
    <col min="70" max="70" width="21.375" bestFit="1" customWidth="1"/>
    <col min="71" max="71" width="19.25" bestFit="1" customWidth="1"/>
    <col min="72" max="72" width="89.625" bestFit="1" customWidth="1"/>
    <col min="73" max="73" width="19.25" bestFit="1" customWidth="1"/>
    <col min="74" max="74" width="16.75" bestFit="1" customWidth="1"/>
    <col min="75" max="75" width="19.75" bestFit="1" customWidth="1"/>
    <col min="76" max="77" width="18.625" bestFit="1" customWidth="1"/>
    <col min="78" max="78" width="146.125" bestFit="1" customWidth="1"/>
    <col min="79" max="79" width="19.25" bestFit="1" customWidth="1"/>
    <col min="80" max="80" width="16.75" bestFit="1" customWidth="1"/>
    <col min="81" max="81" width="19.25" bestFit="1" customWidth="1"/>
    <col min="82" max="82" width="21.375" bestFit="1" customWidth="1"/>
    <col min="83" max="83" width="19.25" bestFit="1" customWidth="1"/>
    <col min="84" max="84" width="96" bestFit="1" customWidth="1"/>
    <col min="85" max="85" width="19.25" bestFit="1" customWidth="1"/>
    <col min="86" max="86" width="16.75" bestFit="1" customWidth="1"/>
    <col min="87" max="87" width="22.875" bestFit="1" customWidth="1"/>
    <col min="88" max="88" width="20.375" bestFit="1" customWidth="1"/>
    <col min="89" max="89" width="22.875" bestFit="1" customWidth="1"/>
    <col min="90" max="90" width="21.375" bestFit="1" customWidth="1"/>
    <col min="91" max="91" width="22.875" bestFit="1" customWidth="1"/>
    <col min="92" max="92" width="100.375" bestFit="1" customWidth="1"/>
    <col min="93" max="93" width="22.875" bestFit="1" customWidth="1"/>
    <col min="94" max="94" width="20.375" bestFit="1" customWidth="1"/>
    <col min="95" max="95" width="19.75" bestFit="1" customWidth="1"/>
    <col min="96" max="96" width="15.875" bestFit="1" customWidth="1"/>
    <col min="97" max="98" width="24.375" bestFit="1" customWidth="1"/>
    <col min="99" max="99" width="28" bestFit="1" customWidth="1"/>
    <col min="100" max="100" width="27.5" bestFit="1" customWidth="1"/>
    <col min="101" max="102" width="24.25" bestFit="1" customWidth="1"/>
    <col min="103" max="103" width="27.875" bestFit="1" customWidth="1"/>
    <col min="104" max="104" width="24.75" bestFit="1" customWidth="1"/>
    <col min="105" max="106" width="21.5" bestFit="1" customWidth="1"/>
    <col min="107" max="107" width="25.125" bestFit="1" customWidth="1"/>
    <col min="108" max="108" width="13.625" bestFit="1" customWidth="1"/>
    <col min="109" max="109" width="15.875" bestFit="1" customWidth="1"/>
    <col min="110" max="110" width="22.875" bestFit="1" customWidth="1"/>
    <col min="111" max="111" width="8.625" bestFit="1" customWidth="1"/>
    <col min="112" max="112" width="15.625" bestFit="1" customWidth="1"/>
    <col min="113" max="113" width="45.5" bestFit="1" customWidth="1"/>
    <col min="114" max="114" width="19.75" bestFit="1" customWidth="1"/>
    <col min="115" max="115" width="21.125" bestFit="1" customWidth="1"/>
    <col min="116" max="116" width="18" bestFit="1" customWidth="1"/>
    <col min="117" max="117" width="7.75" bestFit="1" customWidth="1"/>
    <col min="118" max="118" width="19.75" bestFit="1" customWidth="1"/>
    <col min="119" max="119" width="11.125" bestFit="1" customWidth="1"/>
    <col min="120" max="120" width="19.75" bestFit="1" customWidth="1"/>
    <col min="121" max="121" width="16.75" bestFit="1" customWidth="1"/>
    <col min="122" max="122" width="19.25" bestFit="1" customWidth="1"/>
    <col min="123" max="123" width="17.25" bestFit="1" customWidth="1"/>
    <col min="124" max="124" width="29.625" bestFit="1" customWidth="1"/>
    <col min="125" max="125" width="21.75" bestFit="1" customWidth="1"/>
    <col min="126" max="126" width="19.25" bestFit="1" customWidth="1"/>
    <col min="127" max="127" width="161.75" bestFit="1" customWidth="1"/>
    <col min="128" max="128" width="19.375" bestFit="1" customWidth="1"/>
    <col min="129" max="129" width="255.625" bestFit="1" customWidth="1"/>
    <col min="130" max="130" width="22.25" bestFit="1" customWidth="1"/>
    <col min="131" max="131" width="7.75" bestFit="1" customWidth="1"/>
    <col min="132" max="132" width="19.75" bestFit="1" customWidth="1"/>
    <col min="133" max="133" width="11.125" bestFit="1" customWidth="1"/>
    <col min="134" max="134" width="19.75" bestFit="1" customWidth="1"/>
    <col min="135" max="135" width="23" bestFit="1" customWidth="1"/>
    <col min="136" max="143" width="7.25" bestFit="1" customWidth="1"/>
    <col min="144" max="144" width="8.5" bestFit="1" customWidth="1"/>
    <col min="145" max="148" width="7.25" bestFit="1" customWidth="1"/>
    <col min="149" max="149" width="4.375" bestFit="1" customWidth="1"/>
    <col min="150" max="150" width="14.75" bestFit="1" customWidth="1"/>
    <col min="256" max="256" width="16.875" bestFit="1" customWidth="1"/>
    <col min="257" max="257" width="13.125" bestFit="1" customWidth="1"/>
    <col min="258" max="258" width="16.875" bestFit="1" customWidth="1"/>
    <col min="259" max="259" width="13.875" bestFit="1" customWidth="1"/>
    <col min="260" max="260" width="18.875" bestFit="1" customWidth="1"/>
    <col min="261" max="261" width="10.375" bestFit="1" customWidth="1"/>
    <col min="262" max="263" width="18.875" bestFit="1" customWidth="1"/>
    <col min="264" max="264" width="13.375" customWidth="1"/>
    <col min="265" max="266" width="18.875" bestFit="1" customWidth="1"/>
    <col min="267" max="267" width="15.125" bestFit="1" customWidth="1"/>
    <col min="268" max="268" width="15.375" bestFit="1" customWidth="1"/>
    <col min="269" max="269" width="16.625" customWidth="1"/>
    <col min="270" max="270" width="13.375" customWidth="1"/>
    <col min="271" max="271" width="16.875" bestFit="1" customWidth="1"/>
    <col min="272" max="272" width="14.875" bestFit="1" customWidth="1"/>
    <col min="273" max="273" width="20.625" bestFit="1" customWidth="1"/>
    <col min="274" max="274" width="18.375" bestFit="1" customWidth="1"/>
    <col min="275" max="275" width="13.375" bestFit="1" customWidth="1"/>
    <col min="276" max="276" width="36.375" customWidth="1"/>
    <col min="277" max="277" width="36.375" bestFit="1" customWidth="1"/>
    <col min="278" max="278" width="24.625" customWidth="1"/>
    <col min="279" max="279" width="36.375" bestFit="1" customWidth="1"/>
    <col min="280" max="280" width="21.625" bestFit="1" customWidth="1"/>
    <col min="281" max="281" width="21.875" bestFit="1" customWidth="1"/>
    <col min="282" max="282" width="21.625" bestFit="1" customWidth="1"/>
    <col min="283" max="283" width="13.875" bestFit="1" customWidth="1"/>
    <col min="284" max="284" width="10.375" bestFit="1" customWidth="1"/>
    <col min="285" max="285" width="18.875" bestFit="1" customWidth="1"/>
    <col min="286" max="286" width="10.375" bestFit="1" customWidth="1"/>
    <col min="287" max="287" width="98.875" bestFit="1" customWidth="1"/>
    <col min="288" max="288" width="17.625" bestFit="1" customWidth="1"/>
    <col min="289" max="289" width="26.625" bestFit="1" customWidth="1"/>
    <col min="290" max="290" width="23.375" bestFit="1" customWidth="1"/>
    <col min="291" max="291" width="15.375" bestFit="1" customWidth="1"/>
    <col min="292" max="292" width="202.625" customWidth="1"/>
    <col min="293" max="293" width="46.625" bestFit="1" customWidth="1"/>
    <col min="294" max="294" width="26.125" bestFit="1" customWidth="1"/>
    <col min="295" max="295" width="18.875" bestFit="1" customWidth="1"/>
    <col min="296" max="296" width="42.125" bestFit="1" customWidth="1"/>
    <col min="297" max="298" width="18.875" bestFit="1" customWidth="1"/>
    <col min="299" max="299" width="22.375" bestFit="1" customWidth="1"/>
    <col min="300" max="300" width="17.625" bestFit="1" customWidth="1"/>
    <col min="301" max="301" width="17.375" bestFit="1" customWidth="1"/>
    <col min="302" max="302" width="15.125" bestFit="1" customWidth="1"/>
    <col min="303" max="303" width="27.875" bestFit="1" customWidth="1"/>
    <col min="304" max="304" width="31.375" bestFit="1" customWidth="1"/>
    <col min="305" max="305" width="14.125" bestFit="1" customWidth="1"/>
    <col min="306" max="306" width="10.625" customWidth="1"/>
    <col min="307" max="308" width="20.625" customWidth="1"/>
    <col min="309" max="309" width="19.375" bestFit="1" customWidth="1"/>
    <col min="310" max="310" width="21.875" bestFit="1" customWidth="1"/>
    <col min="311" max="311" width="25.625" customWidth="1"/>
    <col min="312" max="312" width="25.875" bestFit="1" customWidth="1"/>
    <col min="313" max="313" width="19.625" customWidth="1"/>
    <col min="314" max="314" width="35.125" bestFit="1" customWidth="1"/>
    <col min="315" max="315" width="27.125" bestFit="1" customWidth="1"/>
    <col min="316" max="316" width="36.125" bestFit="1" customWidth="1"/>
    <col min="317" max="317" width="27.875" bestFit="1" customWidth="1"/>
    <col min="318" max="318" width="19.375" bestFit="1" customWidth="1"/>
    <col min="319" max="319" width="17.625" bestFit="1" customWidth="1"/>
    <col min="320" max="320" width="30.125" bestFit="1" customWidth="1"/>
    <col min="321" max="321" width="25.625" customWidth="1"/>
    <col min="322" max="322" width="23.125" bestFit="1" customWidth="1"/>
    <col min="323" max="323" width="25.625" customWidth="1"/>
    <col min="324" max="324" width="23.125" bestFit="1" customWidth="1"/>
    <col min="325" max="325" width="19.625" bestFit="1" customWidth="1"/>
    <col min="326" max="326" width="23.125" bestFit="1" customWidth="1"/>
    <col min="327" max="327" width="24.625" customWidth="1"/>
    <col min="328" max="328" width="23.125" bestFit="1" customWidth="1"/>
    <col min="329" max="329" width="19.625" bestFit="1" customWidth="1"/>
    <col min="330" max="330" width="17.625" bestFit="1" customWidth="1"/>
    <col min="331" max="332" width="21.875" bestFit="1" customWidth="1"/>
    <col min="333" max="333" width="25.625" customWidth="1"/>
    <col min="334" max="334" width="23.125" bestFit="1" customWidth="1"/>
    <col min="335" max="335" width="25.625" customWidth="1"/>
    <col min="336" max="336" width="23.125" bestFit="1" customWidth="1"/>
    <col min="337" max="337" width="19.625" bestFit="1" customWidth="1"/>
    <col min="338" max="338" width="23.125" bestFit="1" customWidth="1"/>
    <col min="339" max="339" width="24.625" customWidth="1"/>
    <col min="340" max="340" width="23.125" bestFit="1" customWidth="1"/>
    <col min="341" max="341" width="19.625" bestFit="1" customWidth="1"/>
    <col min="342" max="342" width="27.375" bestFit="1" customWidth="1"/>
    <col min="343" max="343" width="25.625" customWidth="1"/>
    <col min="344" max="344" width="27.375" bestFit="1" customWidth="1"/>
    <col min="345" max="345" width="23.875" bestFit="1" customWidth="1"/>
    <col min="346" max="346" width="27.375" bestFit="1" customWidth="1"/>
    <col min="347" max="347" width="24.625" customWidth="1"/>
    <col min="348" max="348" width="27.375" bestFit="1" customWidth="1"/>
    <col min="349" max="349" width="23.875" bestFit="1" customWidth="1"/>
    <col min="350" max="350" width="17.625" customWidth="1"/>
    <col min="351" max="351" width="18.125" customWidth="1"/>
    <col min="352" max="353" width="29.125" bestFit="1" customWidth="1"/>
    <col min="354" max="354" width="33.375" bestFit="1" customWidth="1"/>
    <col min="355" max="355" width="32.375" bestFit="1" customWidth="1"/>
    <col min="356" max="357" width="28.875" bestFit="1" customWidth="1"/>
    <col min="358" max="358" width="33.125" bestFit="1" customWidth="1"/>
    <col min="359" max="359" width="29.125" bestFit="1" customWidth="1"/>
    <col min="360" max="361" width="25.375" bestFit="1" customWidth="1"/>
    <col min="362" max="362" width="29.875" customWidth="1"/>
    <col min="363" max="363" width="16.375" bestFit="1" customWidth="1"/>
    <col min="364" max="364" width="19.375" bestFit="1" customWidth="1"/>
    <col min="365" max="365" width="27.625" bestFit="1" customWidth="1"/>
    <col min="366" max="366" width="10.375" bestFit="1" customWidth="1"/>
    <col min="367" max="367" width="18.875" bestFit="1" customWidth="1"/>
    <col min="368" max="368" width="24.625" customWidth="1"/>
    <col min="369" max="369" width="17.625" bestFit="1" customWidth="1"/>
    <col min="370" max="370" width="24.875" bestFit="1" customWidth="1"/>
    <col min="371" max="371" width="21.875" bestFit="1" customWidth="1"/>
    <col min="372" max="372" width="12.125" bestFit="1" customWidth="1"/>
    <col min="373" max="373" width="17.375" bestFit="1" customWidth="1"/>
    <col min="374" max="374" width="13.375" bestFit="1" customWidth="1"/>
    <col min="375" max="375" width="17.375" bestFit="1" customWidth="1"/>
    <col min="376" max="383" width="8.625" bestFit="1" customWidth="1"/>
    <col min="384" max="384" width="10.125" bestFit="1" customWidth="1"/>
    <col min="385" max="388" width="8.625" bestFit="1" customWidth="1"/>
    <col min="389" max="389" width="5.625" bestFit="1" customWidth="1"/>
    <col min="390" max="390" width="17.375" bestFit="1" customWidth="1"/>
    <col min="391" max="391" width="21.875" bestFit="1" customWidth="1"/>
    <col min="392" max="392" width="57.375" bestFit="1" customWidth="1"/>
    <col min="393" max="393" width="25.375" bestFit="1" customWidth="1"/>
    <col min="394" max="394" width="15.625" customWidth="1"/>
    <col min="395" max="395" width="32.125" bestFit="1" customWidth="1"/>
    <col min="396" max="396" width="22.625" bestFit="1" customWidth="1"/>
    <col min="397" max="397" width="24.875" bestFit="1" customWidth="1"/>
    <col min="398" max="398" width="25.625" customWidth="1"/>
    <col min="399" max="399" width="31.375" bestFit="1" customWidth="1"/>
    <col min="400" max="400" width="24.625" customWidth="1"/>
    <col min="401" max="401" width="31.625" bestFit="1" customWidth="1"/>
    <col min="402" max="402" width="51.625" bestFit="1" customWidth="1"/>
    <col min="403" max="403" width="57.375" bestFit="1" customWidth="1"/>
    <col min="404" max="404" width="57.125" bestFit="1" customWidth="1"/>
    <col min="405" max="405" width="62.875" bestFit="1" customWidth="1"/>
    <col min="406" max="406" width="32.125" bestFit="1" customWidth="1"/>
    <col min="512" max="512" width="16.875" bestFit="1" customWidth="1"/>
    <col min="513" max="513" width="13.125" bestFit="1" customWidth="1"/>
    <col min="514" max="514" width="16.875" bestFit="1" customWidth="1"/>
    <col min="515" max="515" width="13.875" bestFit="1" customWidth="1"/>
    <col min="516" max="516" width="18.875" bestFit="1" customWidth="1"/>
    <col min="517" max="517" width="10.375" bestFit="1" customWidth="1"/>
    <col min="518" max="519" width="18.875" bestFit="1" customWidth="1"/>
    <col min="520" max="520" width="13.375" customWidth="1"/>
    <col min="521" max="522" width="18.875" bestFit="1" customWidth="1"/>
    <col min="523" max="523" width="15.125" bestFit="1" customWidth="1"/>
    <col min="524" max="524" width="15.375" bestFit="1" customWidth="1"/>
    <col min="525" max="525" width="16.625" customWidth="1"/>
    <col min="526" max="526" width="13.375" customWidth="1"/>
    <col min="527" max="527" width="16.875" bestFit="1" customWidth="1"/>
    <col min="528" max="528" width="14.875" bestFit="1" customWidth="1"/>
    <col min="529" max="529" width="20.625" bestFit="1" customWidth="1"/>
    <col min="530" max="530" width="18.375" bestFit="1" customWidth="1"/>
    <col min="531" max="531" width="13.375" bestFit="1" customWidth="1"/>
    <col min="532" max="532" width="36.375" customWidth="1"/>
    <col min="533" max="533" width="36.375" bestFit="1" customWidth="1"/>
    <col min="534" max="534" width="24.625" customWidth="1"/>
    <col min="535" max="535" width="36.375" bestFit="1" customWidth="1"/>
    <col min="536" max="536" width="21.625" bestFit="1" customWidth="1"/>
    <col min="537" max="537" width="21.875" bestFit="1" customWidth="1"/>
    <col min="538" max="538" width="21.625" bestFit="1" customWidth="1"/>
    <col min="539" max="539" width="13.875" bestFit="1" customWidth="1"/>
    <col min="540" max="540" width="10.375" bestFit="1" customWidth="1"/>
    <col min="541" max="541" width="18.875" bestFit="1" customWidth="1"/>
    <col min="542" max="542" width="10.375" bestFit="1" customWidth="1"/>
    <col min="543" max="543" width="98.875" bestFit="1" customWidth="1"/>
    <col min="544" max="544" width="17.625" bestFit="1" customWidth="1"/>
    <col min="545" max="545" width="26.625" bestFit="1" customWidth="1"/>
    <col min="546" max="546" width="23.375" bestFit="1" customWidth="1"/>
    <col min="547" max="547" width="15.375" bestFit="1" customWidth="1"/>
    <col min="548" max="548" width="202.625" customWidth="1"/>
    <col min="549" max="549" width="46.625" bestFit="1" customWidth="1"/>
    <col min="550" max="550" width="26.125" bestFit="1" customWidth="1"/>
    <col min="551" max="551" width="18.875" bestFit="1" customWidth="1"/>
    <col min="552" max="552" width="42.125" bestFit="1" customWidth="1"/>
    <col min="553" max="554" width="18.875" bestFit="1" customWidth="1"/>
    <col min="555" max="555" width="22.375" bestFit="1" customWidth="1"/>
    <col min="556" max="556" width="17.625" bestFit="1" customWidth="1"/>
    <col min="557" max="557" width="17.375" bestFit="1" customWidth="1"/>
    <col min="558" max="558" width="15.125" bestFit="1" customWidth="1"/>
    <col min="559" max="559" width="27.875" bestFit="1" customWidth="1"/>
    <col min="560" max="560" width="31.375" bestFit="1" customWidth="1"/>
    <col min="561" max="561" width="14.125" bestFit="1" customWidth="1"/>
    <col min="562" max="562" width="10.625" customWidth="1"/>
    <col min="563" max="564" width="20.625" customWidth="1"/>
    <col min="565" max="565" width="19.375" bestFit="1" customWidth="1"/>
    <col min="566" max="566" width="21.875" bestFit="1" customWidth="1"/>
    <col min="567" max="567" width="25.625" customWidth="1"/>
    <col min="568" max="568" width="25.875" bestFit="1" customWidth="1"/>
    <col min="569" max="569" width="19.625" customWidth="1"/>
    <col min="570" max="570" width="35.125" bestFit="1" customWidth="1"/>
    <col min="571" max="571" width="27.125" bestFit="1" customWidth="1"/>
    <col min="572" max="572" width="36.125" bestFit="1" customWidth="1"/>
    <col min="573" max="573" width="27.875" bestFit="1" customWidth="1"/>
    <col min="574" max="574" width="19.375" bestFit="1" customWidth="1"/>
    <col min="575" max="575" width="17.625" bestFit="1" customWidth="1"/>
    <col min="576" max="576" width="30.125" bestFit="1" customWidth="1"/>
    <col min="577" max="577" width="25.625" customWidth="1"/>
    <col min="578" max="578" width="23.125" bestFit="1" customWidth="1"/>
    <col min="579" max="579" width="25.625" customWidth="1"/>
    <col min="580" max="580" width="23.125" bestFit="1" customWidth="1"/>
    <col min="581" max="581" width="19.625" bestFit="1" customWidth="1"/>
    <col min="582" max="582" width="23.125" bestFit="1" customWidth="1"/>
    <col min="583" max="583" width="24.625" customWidth="1"/>
    <col min="584" max="584" width="23.125" bestFit="1" customWidth="1"/>
    <col min="585" max="585" width="19.625" bestFit="1" customWidth="1"/>
    <col min="586" max="586" width="17.625" bestFit="1" customWidth="1"/>
    <col min="587" max="588" width="21.875" bestFit="1" customWidth="1"/>
    <col min="589" max="589" width="25.625" customWidth="1"/>
    <col min="590" max="590" width="23.125" bestFit="1" customWidth="1"/>
    <col min="591" max="591" width="25.625" customWidth="1"/>
    <col min="592" max="592" width="23.125" bestFit="1" customWidth="1"/>
    <col min="593" max="593" width="19.625" bestFit="1" customWidth="1"/>
    <col min="594" max="594" width="23.125" bestFit="1" customWidth="1"/>
    <col min="595" max="595" width="24.625" customWidth="1"/>
    <col min="596" max="596" width="23.125" bestFit="1" customWidth="1"/>
    <col min="597" max="597" width="19.625" bestFit="1" customWidth="1"/>
    <col min="598" max="598" width="27.375" bestFit="1" customWidth="1"/>
    <col min="599" max="599" width="25.625" customWidth="1"/>
    <col min="600" max="600" width="27.375" bestFit="1" customWidth="1"/>
    <col min="601" max="601" width="23.875" bestFit="1" customWidth="1"/>
    <col min="602" max="602" width="27.375" bestFit="1" customWidth="1"/>
    <col min="603" max="603" width="24.625" customWidth="1"/>
    <col min="604" max="604" width="27.375" bestFit="1" customWidth="1"/>
    <col min="605" max="605" width="23.875" bestFit="1" customWidth="1"/>
    <col min="606" max="606" width="17.625" customWidth="1"/>
    <col min="607" max="607" width="18.125" customWidth="1"/>
    <col min="608" max="609" width="29.125" bestFit="1" customWidth="1"/>
    <col min="610" max="610" width="33.375" bestFit="1" customWidth="1"/>
    <col min="611" max="611" width="32.375" bestFit="1" customWidth="1"/>
    <col min="612" max="613" width="28.875" bestFit="1" customWidth="1"/>
    <col min="614" max="614" width="33.125" bestFit="1" customWidth="1"/>
    <col min="615" max="615" width="29.125" bestFit="1" customWidth="1"/>
    <col min="616" max="617" width="25.375" bestFit="1" customWidth="1"/>
    <col min="618" max="618" width="29.875" customWidth="1"/>
    <col min="619" max="619" width="16.375" bestFit="1" customWidth="1"/>
    <col min="620" max="620" width="19.375" bestFit="1" customWidth="1"/>
    <col min="621" max="621" width="27.625" bestFit="1" customWidth="1"/>
    <col min="622" max="622" width="10.375" bestFit="1" customWidth="1"/>
    <col min="623" max="623" width="18.875" bestFit="1" customWidth="1"/>
    <col min="624" max="624" width="24.625" customWidth="1"/>
    <col min="625" max="625" width="17.625" bestFit="1" customWidth="1"/>
    <col min="626" max="626" width="24.875" bestFit="1" customWidth="1"/>
    <col min="627" max="627" width="21.875" bestFit="1" customWidth="1"/>
    <col min="628" max="628" width="12.125" bestFit="1" customWidth="1"/>
    <col min="629" max="629" width="17.375" bestFit="1" customWidth="1"/>
    <col min="630" max="630" width="13.375" bestFit="1" customWidth="1"/>
    <col min="631" max="631" width="17.375" bestFit="1" customWidth="1"/>
    <col min="632" max="639" width="8.625" bestFit="1" customWidth="1"/>
    <col min="640" max="640" width="10.125" bestFit="1" customWidth="1"/>
    <col min="641" max="644" width="8.625" bestFit="1" customWidth="1"/>
    <col min="645" max="645" width="5.625" bestFit="1" customWidth="1"/>
    <col min="646" max="646" width="17.375" bestFit="1" customWidth="1"/>
    <col min="647" max="647" width="21.875" bestFit="1" customWidth="1"/>
    <col min="648" max="648" width="57.375" bestFit="1" customWidth="1"/>
    <col min="649" max="649" width="25.375" bestFit="1" customWidth="1"/>
    <col min="650" max="650" width="15.625" customWidth="1"/>
    <col min="651" max="651" width="32.125" bestFit="1" customWidth="1"/>
    <col min="652" max="652" width="22.625" bestFit="1" customWidth="1"/>
    <col min="653" max="653" width="24.875" bestFit="1" customWidth="1"/>
    <col min="654" max="654" width="25.625" customWidth="1"/>
    <col min="655" max="655" width="31.375" bestFit="1" customWidth="1"/>
    <col min="656" max="656" width="24.625" customWidth="1"/>
    <col min="657" max="657" width="31.625" bestFit="1" customWidth="1"/>
    <col min="658" max="658" width="51.625" bestFit="1" customWidth="1"/>
    <col min="659" max="659" width="57.375" bestFit="1" customWidth="1"/>
    <col min="660" max="660" width="57.125" bestFit="1" customWidth="1"/>
    <col min="661" max="661" width="62.875" bestFit="1" customWidth="1"/>
    <col min="662" max="662" width="32.125" bestFit="1" customWidth="1"/>
    <col min="768" max="768" width="16.875" bestFit="1" customWidth="1"/>
    <col min="769" max="769" width="13.125" bestFit="1" customWidth="1"/>
    <col min="770" max="770" width="16.875" bestFit="1" customWidth="1"/>
    <col min="771" max="771" width="13.875" bestFit="1" customWidth="1"/>
    <col min="772" max="772" width="18.875" bestFit="1" customWidth="1"/>
    <col min="773" max="773" width="10.375" bestFit="1" customWidth="1"/>
    <col min="774" max="775" width="18.875" bestFit="1" customWidth="1"/>
    <col min="776" max="776" width="13.375" customWidth="1"/>
    <col min="777" max="778" width="18.875" bestFit="1" customWidth="1"/>
    <col min="779" max="779" width="15.125" bestFit="1" customWidth="1"/>
    <col min="780" max="780" width="15.375" bestFit="1" customWidth="1"/>
    <col min="781" max="781" width="16.625" customWidth="1"/>
    <col min="782" max="782" width="13.375" customWidth="1"/>
    <col min="783" max="783" width="16.875" bestFit="1" customWidth="1"/>
    <col min="784" max="784" width="14.875" bestFit="1" customWidth="1"/>
    <col min="785" max="785" width="20.625" bestFit="1" customWidth="1"/>
    <col min="786" max="786" width="18.375" bestFit="1" customWidth="1"/>
    <col min="787" max="787" width="13.375" bestFit="1" customWidth="1"/>
    <col min="788" max="788" width="36.375" customWidth="1"/>
    <col min="789" max="789" width="36.375" bestFit="1" customWidth="1"/>
    <col min="790" max="790" width="24.625" customWidth="1"/>
    <col min="791" max="791" width="36.375" bestFit="1" customWidth="1"/>
    <col min="792" max="792" width="21.625" bestFit="1" customWidth="1"/>
    <col min="793" max="793" width="21.875" bestFit="1" customWidth="1"/>
    <col min="794" max="794" width="21.625" bestFit="1" customWidth="1"/>
    <col min="795" max="795" width="13.875" bestFit="1" customWidth="1"/>
    <col min="796" max="796" width="10.375" bestFit="1" customWidth="1"/>
    <col min="797" max="797" width="18.875" bestFit="1" customWidth="1"/>
    <col min="798" max="798" width="10.375" bestFit="1" customWidth="1"/>
    <col min="799" max="799" width="98.875" bestFit="1" customWidth="1"/>
    <col min="800" max="800" width="17.625" bestFit="1" customWidth="1"/>
    <col min="801" max="801" width="26.625" bestFit="1" customWidth="1"/>
    <col min="802" max="802" width="23.375" bestFit="1" customWidth="1"/>
    <col min="803" max="803" width="15.375" bestFit="1" customWidth="1"/>
    <col min="804" max="804" width="202.625" customWidth="1"/>
    <col min="805" max="805" width="46.625" bestFit="1" customWidth="1"/>
    <col min="806" max="806" width="26.125" bestFit="1" customWidth="1"/>
    <col min="807" max="807" width="18.875" bestFit="1" customWidth="1"/>
    <col min="808" max="808" width="42.125" bestFit="1" customWidth="1"/>
    <col min="809" max="810" width="18.875" bestFit="1" customWidth="1"/>
    <col min="811" max="811" width="22.375" bestFit="1" customWidth="1"/>
    <col min="812" max="812" width="17.625" bestFit="1" customWidth="1"/>
    <col min="813" max="813" width="17.375" bestFit="1" customWidth="1"/>
    <col min="814" max="814" width="15.125" bestFit="1" customWidth="1"/>
    <col min="815" max="815" width="27.875" bestFit="1" customWidth="1"/>
    <col min="816" max="816" width="31.375" bestFit="1" customWidth="1"/>
    <col min="817" max="817" width="14.125" bestFit="1" customWidth="1"/>
    <col min="818" max="818" width="10.625" customWidth="1"/>
    <col min="819" max="820" width="20.625" customWidth="1"/>
    <col min="821" max="821" width="19.375" bestFit="1" customWidth="1"/>
    <col min="822" max="822" width="21.875" bestFit="1" customWidth="1"/>
    <col min="823" max="823" width="25.625" customWidth="1"/>
    <col min="824" max="824" width="25.875" bestFit="1" customWidth="1"/>
    <col min="825" max="825" width="19.625" customWidth="1"/>
    <col min="826" max="826" width="35.125" bestFit="1" customWidth="1"/>
    <col min="827" max="827" width="27.125" bestFit="1" customWidth="1"/>
    <col min="828" max="828" width="36.125" bestFit="1" customWidth="1"/>
    <col min="829" max="829" width="27.875" bestFit="1" customWidth="1"/>
    <col min="830" max="830" width="19.375" bestFit="1" customWidth="1"/>
    <col min="831" max="831" width="17.625" bestFit="1" customWidth="1"/>
    <col min="832" max="832" width="30.125" bestFit="1" customWidth="1"/>
    <col min="833" max="833" width="25.625" customWidth="1"/>
    <col min="834" max="834" width="23.125" bestFit="1" customWidth="1"/>
    <col min="835" max="835" width="25.625" customWidth="1"/>
    <col min="836" max="836" width="23.125" bestFit="1" customWidth="1"/>
    <col min="837" max="837" width="19.625" bestFit="1" customWidth="1"/>
    <col min="838" max="838" width="23.125" bestFit="1" customWidth="1"/>
    <col min="839" max="839" width="24.625" customWidth="1"/>
    <col min="840" max="840" width="23.125" bestFit="1" customWidth="1"/>
    <col min="841" max="841" width="19.625" bestFit="1" customWidth="1"/>
    <col min="842" max="842" width="17.625" bestFit="1" customWidth="1"/>
    <col min="843" max="844" width="21.875" bestFit="1" customWidth="1"/>
    <col min="845" max="845" width="25.625" customWidth="1"/>
    <col min="846" max="846" width="23.125" bestFit="1" customWidth="1"/>
    <col min="847" max="847" width="25.625" customWidth="1"/>
    <col min="848" max="848" width="23.125" bestFit="1" customWidth="1"/>
    <col min="849" max="849" width="19.625" bestFit="1" customWidth="1"/>
    <col min="850" max="850" width="23.125" bestFit="1" customWidth="1"/>
    <col min="851" max="851" width="24.625" customWidth="1"/>
    <col min="852" max="852" width="23.125" bestFit="1" customWidth="1"/>
    <col min="853" max="853" width="19.625" bestFit="1" customWidth="1"/>
    <col min="854" max="854" width="27.375" bestFit="1" customWidth="1"/>
    <col min="855" max="855" width="25.625" customWidth="1"/>
    <col min="856" max="856" width="27.375" bestFit="1" customWidth="1"/>
    <col min="857" max="857" width="23.875" bestFit="1" customWidth="1"/>
    <col min="858" max="858" width="27.375" bestFit="1" customWidth="1"/>
    <col min="859" max="859" width="24.625" customWidth="1"/>
    <col min="860" max="860" width="27.375" bestFit="1" customWidth="1"/>
    <col min="861" max="861" width="23.875" bestFit="1" customWidth="1"/>
    <col min="862" max="862" width="17.625" customWidth="1"/>
    <col min="863" max="863" width="18.125" customWidth="1"/>
    <col min="864" max="865" width="29.125" bestFit="1" customWidth="1"/>
    <col min="866" max="866" width="33.375" bestFit="1" customWidth="1"/>
    <col min="867" max="867" width="32.375" bestFit="1" customWidth="1"/>
    <col min="868" max="869" width="28.875" bestFit="1" customWidth="1"/>
    <col min="870" max="870" width="33.125" bestFit="1" customWidth="1"/>
    <col min="871" max="871" width="29.125" bestFit="1" customWidth="1"/>
    <col min="872" max="873" width="25.375" bestFit="1" customWidth="1"/>
    <col min="874" max="874" width="29.875" customWidth="1"/>
    <col min="875" max="875" width="16.375" bestFit="1" customWidth="1"/>
    <col min="876" max="876" width="19.375" bestFit="1" customWidth="1"/>
    <col min="877" max="877" width="27.625" bestFit="1" customWidth="1"/>
    <col min="878" max="878" width="10.375" bestFit="1" customWidth="1"/>
    <col min="879" max="879" width="18.875" bestFit="1" customWidth="1"/>
    <col min="880" max="880" width="24.625" customWidth="1"/>
    <col min="881" max="881" width="17.625" bestFit="1" customWidth="1"/>
    <col min="882" max="882" width="24.875" bestFit="1" customWidth="1"/>
    <col min="883" max="883" width="21.875" bestFit="1" customWidth="1"/>
    <col min="884" max="884" width="12.125" bestFit="1" customWidth="1"/>
    <col min="885" max="885" width="17.375" bestFit="1" customWidth="1"/>
    <col min="886" max="886" width="13.375" bestFit="1" customWidth="1"/>
    <col min="887" max="887" width="17.375" bestFit="1" customWidth="1"/>
    <col min="888" max="895" width="8.625" bestFit="1" customWidth="1"/>
    <col min="896" max="896" width="10.125" bestFit="1" customWidth="1"/>
    <col min="897" max="900" width="8.625" bestFit="1" customWidth="1"/>
    <col min="901" max="901" width="5.625" bestFit="1" customWidth="1"/>
    <col min="902" max="902" width="17.375" bestFit="1" customWidth="1"/>
    <col min="903" max="903" width="21.875" bestFit="1" customWidth="1"/>
    <col min="904" max="904" width="57.375" bestFit="1" customWidth="1"/>
    <col min="905" max="905" width="25.375" bestFit="1" customWidth="1"/>
    <col min="906" max="906" width="15.625" customWidth="1"/>
    <col min="907" max="907" width="32.125" bestFit="1" customWidth="1"/>
    <col min="908" max="908" width="22.625" bestFit="1" customWidth="1"/>
    <col min="909" max="909" width="24.875" bestFit="1" customWidth="1"/>
    <col min="910" max="910" width="25.625" customWidth="1"/>
    <col min="911" max="911" width="31.375" bestFit="1" customWidth="1"/>
    <col min="912" max="912" width="24.625" customWidth="1"/>
    <col min="913" max="913" width="31.625" bestFit="1" customWidth="1"/>
    <col min="914" max="914" width="51.625" bestFit="1" customWidth="1"/>
    <col min="915" max="915" width="57.375" bestFit="1" customWidth="1"/>
    <col min="916" max="916" width="57.125" bestFit="1" customWidth="1"/>
    <col min="917" max="917" width="62.875" bestFit="1" customWidth="1"/>
    <col min="918" max="918" width="32.125" bestFit="1" customWidth="1"/>
    <col min="1024" max="1024" width="16.875" bestFit="1" customWidth="1"/>
    <col min="1025" max="1025" width="13.125" bestFit="1" customWidth="1"/>
    <col min="1026" max="1026" width="16.875" bestFit="1" customWidth="1"/>
    <col min="1027" max="1027" width="13.875" bestFit="1" customWidth="1"/>
    <col min="1028" max="1028" width="18.875" bestFit="1" customWidth="1"/>
    <col min="1029" max="1029" width="10.375" bestFit="1" customWidth="1"/>
    <col min="1030" max="1031" width="18.875" bestFit="1" customWidth="1"/>
    <col min="1032" max="1032" width="13.375" customWidth="1"/>
    <col min="1033" max="1034" width="18.875" bestFit="1" customWidth="1"/>
    <col min="1035" max="1035" width="15.125" bestFit="1" customWidth="1"/>
    <col min="1036" max="1036" width="15.375" bestFit="1" customWidth="1"/>
    <col min="1037" max="1037" width="16.625" customWidth="1"/>
    <col min="1038" max="1038" width="13.375" customWidth="1"/>
    <col min="1039" max="1039" width="16.875" bestFit="1" customWidth="1"/>
    <col min="1040" max="1040" width="14.875" bestFit="1" customWidth="1"/>
    <col min="1041" max="1041" width="20.625" bestFit="1" customWidth="1"/>
    <col min="1042" max="1042" width="18.375" bestFit="1" customWidth="1"/>
    <col min="1043" max="1043" width="13.375" bestFit="1" customWidth="1"/>
    <col min="1044" max="1044" width="36.375" customWidth="1"/>
    <col min="1045" max="1045" width="36.375" bestFit="1" customWidth="1"/>
    <col min="1046" max="1046" width="24.625" customWidth="1"/>
    <col min="1047" max="1047" width="36.375" bestFit="1" customWidth="1"/>
    <col min="1048" max="1048" width="21.625" bestFit="1" customWidth="1"/>
    <col min="1049" max="1049" width="21.875" bestFit="1" customWidth="1"/>
    <col min="1050" max="1050" width="21.625" bestFit="1" customWidth="1"/>
    <col min="1051" max="1051" width="13.875" bestFit="1" customWidth="1"/>
    <col min="1052" max="1052" width="10.375" bestFit="1" customWidth="1"/>
    <col min="1053" max="1053" width="18.875" bestFit="1" customWidth="1"/>
    <col min="1054" max="1054" width="10.375" bestFit="1" customWidth="1"/>
    <col min="1055" max="1055" width="98.875" bestFit="1" customWidth="1"/>
    <col min="1056" max="1056" width="17.625" bestFit="1" customWidth="1"/>
    <col min="1057" max="1057" width="26.625" bestFit="1" customWidth="1"/>
    <col min="1058" max="1058" width="23.375" bestFit="1" customWidth="1"/>
    <col min="1059" max="1059" width="15.375" bestFit="1" customWidth="1"/>
    <col min="1060" max="1060" width="202.625" customWidth="1"/>
    <col min="1061" max="1061" width="46.625" bestFit="1" customWidth="1"/>
    <col min="1062" max="1062" width="26.125" bestFit="1" customWidth="1"/>
    <col min="1063" max="1063" width="18.875" bestFit="1" customWidth="1"/>
    <col min="1064" max="1064" width="42.125" bestFit="1" customWidth="1"/>
    <col min="1065" max="1066" width="18.875" bestFit="1" customWidth="1"/>
    <col min="1067" max="1067" width="22.375" bestFit="1" customWidth="1"/>
    <col min="1068" max="1068" width="17.625" bestFit="1" customWidth="1"/>
    <col min="1069" max="1069" width="17.375" bestFit="1" customWidth="1"/>
    <col min="1070" max="1070" width="15.125" bestFit="1" customWidth="1"/>
    <col min="1071" max="1071" width="27.875" bestFit="1" customWidth="1"/>
    <col min="1072" max="1072" width="31.375" bestFit="1" customWidth="1"/>
    <col min="1073" max="1073" width="14.125" bestFit="1" customWidth="1"/>
    <col min="1074" max="1074" width="10.625" customWidth="1"/>
    <col min="1075" max="1076" width="20.625" customWidth="1"/>
    <col min="1077" max="1077" width="19.375" bestFit="1" customWidth="1"/>
    <col min="1078" max="1078" width="21.875" bestFit="1" customWidth="1"/>
    <col min="1079" max="1079" width="25.625" customWidth="1"/>
    <col min="1080" max="1080" width="25.875" bestFit="1" customWidth="1"/>
    <col min="1081" max="1081" width="19.625" customWidth="1"/>
    <col min="1082" max="1082" width="35.125" bestFit="1" customWidth="1"/>
    <col min="1083" max="1083" width="27.125" bestFit="1" customWidth="1"/>
    <col min="1084" max="1084" width="36.125" bestFit="1" customWidth="1"/>
    <col min="1085" max="1085" width="27.875" bestFit="1" customWidth="1"/>
    <col min="1086" max="1086" width="19.375" bestFit="1" customWidth="1"/>
    <col min="1087" max="1087" width="17.625" bestFit="1" customWidth="1"/>
    <col min="1088" max="1088" width="30.125" bestFit="1" customWidth="1"/>
    <col min="1089" max="1089" width="25.625" customWidth="1"/>
    <col min="1090" max="1090" width="23.125" bestFit="1" customWidth="1"/>
    <col min="1091" max="1091" width="25.625" customWidth="1"/>
    <col min="1092" max="1092" width="23.125" bestFit="1" customWidth="1"/>
    <col min="1093" max="1093" width="19.625" bestFit="1" customWidth="1"/>
    <col min="1094" max="1094" width="23.125" bestFit="1" customWidth="1"/>
    <col min="1095" max="1095" width="24.625" customWidth="1"/>
    <col min="1096" max="1096" width="23.125" bestFit="1" customWidth="1"/>
    <col min="1097" max="1097" width="19.625" bestFit="1" customWidth="1"/>
    <col min="1098" max="1098" width="17.625" bestFit="1" customWidth="1"/>
    <col min="1099" max="1100" width="21.875" bestFit="1" customWidth="1"/>
    <col min="1101" max="1101" width="25.625" customWidth="1"/>
    <col min="1102" max="1102" width="23.125" bestFit="1" customWidth="1"/>
    <col min="1103" max="1103" width="25.625" customWidth="1"/>
    <col min="1104" max="1104" width="23.125" bestFit="1" customWidth="1"/>
    <col min="1105" max="1105" width="19.625" bestFit="1" customWidth="1"/>
    <col min="1106" max="1106" width="23.125" bestFit="1" customWidth="1"/>
    <col min="1107" max="1107" width="24.625" customWidth="1"/>
    <col min="1108" max="1108" width="23.125" bestFit="1" customWidth="1"/>
    <col min="1109" max="1109" width="19.625" bestFit="1" customWidth="1"/>
    <col min="1110" max="1110" width="27.375" bestFit="1" customWidth="1"/>
    <col min="1111" max="1111" width="25.625" customWidth="1"/>
    <col min="1112" max="1112" width="27.375" bestFit="1" customWidth="1"/>
    <col min="1113" max="1113" width="23.875" bestFit="1" customWidth="1"/>
    <col min="1114" max="1114" width="27.375" bestFit="1" customWidth="1"/>
    <col min="1115" max="1115" width="24.625" customWidth="1"/>
    <col min="1116" max="1116" width="27.375" bestFit="1" customWidth="1"/>
    <col min="1117" max="1117" width="23.875" bestFit="1" customWidth="1"/>
    <col min="1118" max="1118" width="17.625" customWidth="1"/>
    <col min="1119" max="1119" width="18.125" customWidth="1"/>
    <col min="1120" max="1121" width="29.125" bestFit="1" customWidth="1"/>
    <col min="1122" max="1122" width="33.375" bestFit="1" customWidth="1"/>
    <col min="1123" max="1123" width="32.375" bestFit="1" customWidth="1"/>
    <col min="1124" max="1125" width="28.875" bestFit="1" customWidth="1"/>
    <col min="1126" max="1126" width="33.125" bestFit="1" customWidth="1"/>
    <col min="1127" max="1127" width="29.125" bestFit="1" customWidth="1"/>
    <col min="1128" max="1129" width="25.375" bestFit="1" customWidth="1"/>
    <col min="1130" max="1130" width="29.875" customWidth="1"/>
    <col min="1131" max="1131" width="16.375" bestFit="1" customWidth="1"/>
    <col min="1132" max="1132" width="19.375" bestFit="1" customWidth="1"/>
    <col min="1133" max="1133" width="27.625" bestFit="1" customWidth="1"/>
    <col min="1134" max="1134" width="10.375" bestFit="1" customWidth="1"/>
    <col min="1135" max="1135" width="18.875" bestFit="1" customWidth="1"/>
    <col min="1136" max="1136" width="24.625" customWidth="1"/>
    <col min="1137" max="1137" width="17.625" bestFit="1" customWidth="1"/>
    <col min="1138" max="1138" width="24.875" bestFit="1" customWidth="1"/>
    <col min="1139" max="1139" width="21.875" bestFit="1" customWidth="1"/>
    <col min="1140" max="1140" width="12.125" bestFit="1" customWidth="1"/>
    <col min="1141" max="1141" width="17.375" bestFit="1" customWidth="1"/>
    <col min="1142" max="1142" width="13.375" bestFit="1" customWidth="1"/>
    <col min="1143" max="1143" width="17.375" bestFit="1" customWidth="1"/>
    <col min="1144" max="1151" width="8.625" bestFit="1" customWidth="1"/>
    <col min="1152" max="1152" width="10.125" bestFit="1" customWidth="1"/>
    <col min="1153" max="1156" width="8.625" bestFit="1" customWidth="1"/>
    <col min="1157" max="1157" width="5.625" bestFit="1" customWidth="1"/>
    <col min="1158" max="1158" width="17.375" bestFit="1" customWidth="1"/>
    <col min="1159" max="1159" width="21.875" bestFit="1" customWidth="1"/>
    <col min="1160" max="1160" width="57.375" bestFit="1" customWidth="1"/>
    <col min="1161" max="1161" width="25.375" bestFit="1" customWidth="1"/>
    <col min="1162" max="1162" width="15.625" customWidth="1"/>
    <col min="1163" max="1163" width="32.125" bestFit="1" customWidth="1"/>
    <col min="1164" max="1164" width="22.625" bestFit="1" customWidth="1"/>
    <col min="1165" max="1165" width="24.875" bestFit="1" customWidth="1"/>
    <col min="1166" max="1166" width="25.625" customWidth="1"/>
    <col min="1167" max="1167" width="31.375" bestFit="1" customWidth="1"/>
    <col min="1168" max="1168" width="24.625" customWidth="1"/>
    <col min="1169" max="1169" width="31.625" bestFit="1" customWidth="1"/>
    <col min="1170" max="1170" width="51.625" bestFit="1" customWidth="1"/>
    <col min="1171" max="1171" width="57.375" bestFit="1" customWidth="1"/>
    <col min="1172" max="1172" width="57.125" bestFit="1" customWidth="1"/>
    <col min="1173" max="1173" width="62.875" bestFit="1" customWidth="1"/>
    <col min="1174" max="1174" width="32.125" bestFit="1" customWidth="1"/>
    <col min="1280" max="1280" width="16.875" bestFit="1" customWidth="1"/>
    <col min="1281" max="1281" width="13.125" bestFit="1" customWidth="1"/>
    <col min="1282" max="1282" width="16.875" bestFit="1" customWidth="1"/>
    <col min="1283" max="1283" width="13.875" bestFit="1" customWidth="1"/>
    <col min="1284" max="1284" width="18.875" bestFit="1" customWidth="1"/>
    <col min="1285" max="1285" width="10.375" bestFit="1" customWidth="1"/>
    <col min="1286" max="1287" width="18.875" bestFit="1" customWidth="1"/>
    <col min="1288" max="1288" width="13.375" customWidth="1"/>
    <col min="1289" max="1290" width="18.875" bestFit="1" customWidth="1"/>
    <col min="1291" max="1291" width="15.125" bestFit="1" customWidth="1"/>
    <col min="1292" max="1292" width="15.375" bestFit="1" customWidth="1"/>
    <col min="1293" max="1293" width="16.625" customWidth="1"/>
    <col min="1294" max="1294" width="13.375" customWidth="1"/>
    <col min="1295" max="1295" width="16.875" bestFit="1" customWidth="1"/>
    <col min="1296" max="1296" width="14.875" bestFit="1" customWidth="1"/>
    <col min="1297" max="1297" width="20.625" bestFit="1" customWidth="1"/>
    <col min="1298" max="1298" width="18.375" bestFit="1" customWidth="1"/>
    <col min="1299" max="1299" width="13.375" bestFit="1" customWidth="1"/>
    <col min="1300" max="1300" width="36.375" customWidth="1"/>
    <col min="1301" max="1301" width="36.375" bestFit="1" customWidth="1"/>
    <col min="1302" max="1302" width="24.625" customWidth="1"/>
    <col min="1303" max="1303" width="36.375" bestFit="1" customWidth="1"/>
    <col min="1304" max="1304" width="21.625" bestFit="1" customWidth="1"/>
    <col min="1305" max="1305" width="21.875" bestFit="1" customWidth="1"/>
    <col min="1306" max="1306" width="21.625" bestFit="1" customWidth="1"/>
    <col min="1307" max="1307" width="13.875" bestFit="1" customWidth="1"/>
    <col min="1308" max="1308" width="10.375" bestFit="1" customWidth="1"/>
    <col min="1309" max="1309" width="18.875" bestFit="1" customWidth="1"/>
    <col min="1310" max="1310" width="10.375" bestFit="1" customWidth="1"/>
    <col min="1311" max="1311" width="98.875" bestFit="1" customWidth="1"/>
    <col min="1312" max="1312" width="17.625" bestFit="1" customWidth="1"/>
    <col min="1313" max="1313" width="26.625" bestFit="1" customWidth="1"/>
    <col min="1314" max="1314" width="23.375" bestFit="1" customWidth="1"/>
    <col min="1315" max="1315" width="15.375" bestFit="1" customWidth="1"/>
    <col min="1316" max="1316" width="202.625" customWidth="1"/>
    <col min="1317" max="1317" width="46.625" bestFit="1" customWidth="1"/>
    <col min="1318" max="1318" width="26.125" bestFit="1" customWidth="1"/>
    <col min="1319" max="1319" width="18.875" bestFit="1" customWidth="1"/>
    <col min="1320" max="1320" width="42.125" bestFit="1" customWidth="1"/>
    <col min="1321" max="1322" width="18.875" bestFit="1" customWidth="1"/>
    <col min="1323" max="1323" width="22.375" bestFit="1" customWidth="1"/>
    <col min="1324" max="1324" width="17.625" bestFit="1" customWidth="1"/>
    <col min="1325" max="1325" width="17.375" bestFit="1" customWidth="1"/>
    <col min="1326" max="1326" width="15.125" bestFit="1" customWidth="1"/>
    <col min="1327" max="1327" width="27.875" bestFit="1" customWidth="1"/>
    <col min="1328" max="1328" width="31.375" bestFit="1" customWidth="1"/>
    <col min="1329" max="1329" width="14.125" bestFit="1" customWidth="1"/>
    <col min="1330" max="1330" width="10.625" customWidth="1"/>
    <col min="1331" max="1332" width="20.625" customWidth="1"/>
    <col min="1333" max="1333" width="19.375" bestFit="1" customWidth="1"/>
    <col min="1334" max="1334" width="21.875" bestFit="1" customWidth="1"/>
    <col min="1335" max="1335" width="25.625" customWidth="1"/>
    <col min="1336" max="1336" width="25.875" bestFit="1" customWidth="1"/>
    <col min="1337" max="1337" width="19.625" customWidth="1"/>
    <col min="1338" max="1338" width="35.125" bestFit="1" customWidth="1"/>
    <col min="1339" max="1339" width="27.125" bestFit="1" customWidth="1"/>
    <col min="1340" max="1340" width="36.125" bestFit="1" customWidth="1"/>
    <col min="1341" max="1341" width="27.875" bestFit="1" customWidth="1"/>
    <col min="1342" max="1342" width="19.375" bestFit="1" customWidth="1"/>
    <col min="1343" max="1343" width="17.625" bestFit="1" customWidth="1"/>
    <col min="1344" max="1344" width="30.125" bestFit="1" customWidth="1"/>
    <col min="1345" max="1345" width="25.625" customWidth="1"/>
    <col min="1346" max="1346" width="23.125" bestFit="1" customWidth="1"/>
    <col min="1347" max="1347" width="25.625" customWidth="1"/>
    <col min="1348" max="1348" width="23.125" bestFit="1" customWidth="1"/>
    <col min="1349" max="1349" width="19.625" bestFit="1" customWidth="1"/>
    <col min="1350" max="1350" width="23.125" bestFit="1" customWidth="1"/>
    <col min="1351" max="1351" width="24.625" customWidth="1"/>
    <col min="1352" max="1352" width="23.125" bestFit="1" customWidth="1"/>
    <col min="1353" max="1353" width="19.625" bestFit="1" customWidth="1"/>
    <col min="1354" max="1354" width="17.625" bestFit="1" customWidth="1"/>
    <col min="1355" max="1356" width="21.875" bestFit="1" customWidth="1"/>
    <col min="1357" max="1357" width="25.625" customWidth="1"/>
    <col min="1358" max="1358" width="23.125" bestFit="1" customWidth="1"/>
    <col min="1359" max="1359" width="25.625" customWidth="1"/>
    <col min="1360" max="1360" width="23.125" bestFit="1" customWidth="1"/>
    <col min="1361" max="1361" width="19.625" bestFit="1" customWidth="1"/>
    <col min="1362" max="1362" width="23.125" bestFit="1" customWidth="1"/>
    <col min="1363" max="1363" width="24.625" customWidth="1"/>
    <col min="1364" max="1364" width="23.125" bestFit="1" customWidth="1"/>
    <col min="1365" max="1365" width="19.625" bestFit="1" customWidth="1"/>
    <col min="1366" max="1366" width="27.375" bestFit="1" customWidth="1"/>
    <col min="1367" max="1367" width="25.625" customWidth="1"/>
    <col min="1368" max="1368" width="27.375" bestFit="1" customWidth="1"/>
    <col min="1369" max="1369" width="23.875" bestFit="1" customWidth="1"/>
    <col min="1370" max="1370" width="27.375" bestFit="1" customWidth="1"/>
    <col min="1371" max="1371" width="24.625" customWidth="1"/>
    <col min="1372" max="1372" width="27.375" bestFit="1" customWidth="1"/>
    <col min="1373" max="1373" width="23.875" bestFit="1" customWidth="1"/>
    <col min="1374" max="1374" width="17.625" customWidth="1"/>
    <col min="1375" max="1375" width="18.125" customWidth="1"/>
    <col min="1376" max="1377" width="29.125" bestFit="1" customWidth="1"/>
    <col min="1378" max="1378" width="33.375" bestFit="1" customWidth="1"/>
    <col min="1379" max="1379" width="32.375" bestFit="1" customWidth="1"/>
    <col min="1380" max="1381" width="28.875" bestFit="1" customWidth="1"/>
    <col min="1382" max="1382" width="33.125" bestFit="1" customWidth="1"/>
    <col min="1383" max="1383" width="29.125" bestFit="1" customWidth="1"/>
    <col min="1384" max="1385" width="25.375" bestFit="1" customWidth="1"/>
    <col min="1386" max="1386" width="29.875" customWidth="1"/>
    <col min="1387" max="1387" width="16.375" bestFit="1" customWidth="1"/>
    <col min="1388" max="1388" width="19.375" bestFit="1" customWidth="1"/>
    <col min="1389" max="1389" width="27.625" bestFit="1" customWidth="1"/>
    <col min="1390" max="1390" width="10.375" bestFit="1" customWidth="1"/>
    <col min="1391" max="1391" width="18.875" bestFit="1" customWidth="1"/>
    <col min="1392" max="1392" width="24.625" customWidth="1"/>
    <col min="1393" max="1393" width="17.625" bestFit="1" customWidth="1"/>
    <col min="1394" max="1394" width="24.875" bestFit="1" customWidth="1"/>
    <col min="1395" max="1395" width="21.875" bestFit="1" customWidth="1"/>
    <col min="1396" max="1396" width="12.125" bestFit="1" customWidth="1"/>
    <col min="1397" max="1397" width="17.375" bestFit="1" customWidth="1"/>
    <col min="1398" max="1398" width="13.375" bestFit="1" customWidth="1"/>
    <col min="1399" max="1399" width="17.375" bestFit="1" customWidth="1"/>
    <col min="1400" max="1407" width="8.625" bestFit="1" customWidth="1"/>
    <col min="1408" max="1408" width="10.125" bestFit="1" customWidth="1"/>
    <col min="1409" max="1412" width="8.625" bestFit="1" customWidth="1"/>
    <col min="1413" max="1413" width="5.625" bestFit="1" customWidth="1"/>
    <col min="1414" max="1414" width="17.375" bestFit="1" customWidth="1"/>
    <col min="1415" max="1415" width="21.875" bestFit="1" customWidth="1"/>
    <col min="1416" max="1416" width="57.375" bestFit="1" customWidth="1"/>
    <col min="1417" max="1417" width="25.375" bestFit="1" customWidth="1"/>
    <col min="1418" max="1418" width="15.625" customWidth="1"/>
    <col min="1419" max="1419" width="32.125" bestFit="1" customWidth="1"/>
    <col min="1420" max="1420" width="22.625" bestFit="1" customWidth="1"/>
    <col min="1421" max="1421" width="24.875" bestFit="1" customWidth="1"/>
    <col min="1422" max="1422" width="25.625" customWidth="1"/>
    <col min="1423" max="1423" width="31.375" bestFit="1" customWidth="1"/>
    <col min="1424" max="1424" width="24.625" customWidth="1"/>
    <col min="1425" max="1425" width="31.625" bestFit="1" customWidth="1"/>
    <col min="1426" max="1426" width="51.625" bestFit="1" customWidth="1"/>
    <col min="1427" max="1427" width="57.375" bestFit="1" customWidth="1"/>
    <col min="1428" max="1428" width="57.125" bestFit="1" customWidth="1"/>
    <col min="1429" max="1429" width="62.875" bestFit="1" customWidth="1"/>
    <col min="1430" max="1430" width="32.125" bestFit="1" customWidth="1"/>
    <col min="1536" max="1536" width="16.875" bestFit="1" customWidth="1"/>
    <col min="1537" max="1537" width="13.125" bestFit="1" customWidth="1"/>
    <col min="1538" max="1538" width="16.875" bestFit="1" customWidth="1"/>
    <col min="1539" max="1539" width="13.875" bestFit="1" customWidth="1"/>
    <col min="1540" max="1540" width="18.875" bestFit="1" customWidth="1"/>
    <col min="1541" max="1541" width="10.375" bestFit="1" customWidth="1"/>
    <col min="1542" max="1543" width="18.875" bestFit="1" customWidth="1"/>
    <col min="1544" max="1544" width="13.375" customWidth="1"/>
    <col min="1545" max="1546" width="18.875" bestFit="1" customWidth="1"/>
    <col min="1547" max="1547" width="15.125" bestFit="1" customWidth="1"/>
    <col min="1548" max="1548" width="15.375" bestFit="1" customWidth="1"/>
    <col min="1549" max="1549" width="16.625" customWidth="1"/>
    <col min="1550" max="1550" width="13.375" customWidth="1"/>
    <col min="1551" max="1551" width="16.875" bestFit="1" customWidth="1"/>
    <col min="1552" max="1552" width="14.875" bestFit="1" customWidth="1"/>
    <col min="1553" max="1553" width="20.625" bestFit="1" customWidth="1"/>
    <col min="1554" max="1554" width="18.375" bestFit="1" customWidth="1"/>
    <col min="1555" max="1555" width="13.375" bestFit="1" customWidth="1"/>
    <col min="1556" max="1556" width="36.375" customWidth="1"/>
    <col min="1557" max="1557" width="36.375" bestFit="1" customWidth="1"/>
    <col min="1558" max="1558" width="24.625" customWidth="1"/>
    <col min="1559" max="1559" width="36.375" bestFit="1" customWidth="1"/>
    <col min="1560" max="1560" width="21.625" bestFit="1" customWidth="1"/>
    <col min="1561" max="1561" width="21.875" bestFit="1" customWidth="1"/>
    <col min="1562" max="1562" width="21.625" bestFit="1" customWidth="1"/>
    <col min="1563" max="1563" width="13.875" bestFit="1" customWidth="1"/>
    <col min="1564" max="1564" width="10.375" bestFit="1" customWidth="1"/>
    <col min="1565" max="1565" width="18.875" bestFit="1" customWidth="1"/>
    <col min="1566" max="1566" width="10.375" bestFit="1" customWidth="1"/>
    <col min="1567" max="1567" width="98.875" bestFit="1" customWidth="1"/>
    <col min="1568" max="1568" width="17.625" bestFit="1" customWidth="1"/>
    <col min="1569" max="1569" width="26.625" bestFit="1" customWidth="1"/>
    <col min="1570" max="1570" width="23.375" bestFit="1" customWidth="1"/>
    <col min="1571" max="1571" width="15.375" bestFit="1" customWidth="1"/>
    <col min="1572" max="1572" width="202.625" customWidth="1"/>
    <col min="1573" max="1573" width="46.625" bestFit="1" customWidth="1"/>
    <col min="1574" max="1574" width="26.125" bestFit="1" customWidth="1"/>
    <col min="1575" max="1575" width="18.875" bestFit="1" customWidth="1"/>
    <col min="1576" max="1576" width="42.125" bestFit="1" customWidth="1"/>
    <col min="1577" max="1578" width="18.875" bestFit="1" customWidth="1"/>
    <col min="1579" max="1579" width="22.375" bestFit="1" customWidth="1"/>
    <col min="1580" max="1580" width="17.625" bestFit="1" customWidth="1"/>
    <col min="1581" max="1581" width="17.375" bestFit="1" customWidth="1"/>
    <col min="1582" max="1582" width="15.125" bestFit="1" customWidth="1"/>
    <col min="1583" max="1583" width="27.875" bestFit="1" customWidth="1"/>
    <col min="1584" max="1584" width="31.375" bestFit="1" customWidth="1"/>
    <col min="1585" max="1585" width="14.125" bestFit="1" customWidth="1"/>
    <col min="1586" max="1586" width="10.625" customWidth="1"/>
    <col min="1587" max="1588" width="20.625" customWidth="1"/>
    <col min="1589" max="1589" width="19.375" bestFit="1" customWidth="1"/>
    <col min="1590" max="1590" width="21.875" bestFit="1" customWidth="1"/>
    <col min="1591" max="1591" width="25.625" customWidth="1"/>
    <col min="1592" max="1592" width="25.875" bestFit="1" customWidth="1"/>
    <col min="1593" max="1593" width="19.625" customWidth="1"/>
    <col min="1594" max="1594" width="35.125" bestFit="1" customWidth="1"/>
    <col min="1595" max="1595" width="27.125" bestFit="1" customWidth="1"/>
    <col min="1596" max="1596" width="36.125" bestFit="1" customWidth="1"/>
    <col min="1597" max="1597" width="27.875" bestFit="1" customWidth="1"/>
    <col min="1598" max="1598" width="19.375" bestFit="1" customWidth="1"/>
    <col min="1599" max="1599" width="17.625" bestFit="1" customWidth="1"/>
    <col min="1600" max="1600" width="30.125" bestFit="1" customWidth="1"/>
    <col min="1601" max="1601" width="25.625" customWidth="1"/>
    <col min="1602" max="1602" width="23.125" bestFit="1" customWidth="1"/>
    <col min="1603" max="1603" width="25.625" customWidth="1"/>
    <col min="1604" max="1604" width="23.125" bestFit="1" customWidth="1"/>
    <col min="1605" max="1605" width="19.625" bestFit="1" customWidth="1"/>
    <col min="1606" max="1606" width="23.125" bestFit="1" customWidth="1"/>
    <col min="1607" max="1607" width="24.625" customWidth="1"/>
    <col min="1608" max="1608" width="23.125" bestFit="1" customWidth="1"/>
    <col min="1609" max="1609" width="19.625" bestFit="1" customWidth="1"/>
    <col min="1610" max="1610" width="17.625" bestFit="1" customWidth="1"/>
    <col min="1611" max="1612" width="21.875" bestFit="1" customWidth="1"/>
    <col min="1613" max="1613" width="25.625" customWidth="1"/>
    <col min="1614" max="1614" width="23.125" bestFit="1" customWidth="1"/>
    <col min="1615" max="1615" width="25.625" customWidth="1"/>
    <col min="1616" max="1616" width="23.125" bestFit="1" customWidth="1"/>
    <col min="1617" max="1617" width="19.625" bestFit="1" customWidth="1"/>
    <col min="1618" max="1618" width="23.125" bestFit="1" customWidth="1"/>
    <col min="1619" max="1619" width="24.625" customWidth="1"/>
    <col min="1620" max="1620" width="23.125" bestFit="1" customWidth="1"/>
    <col min="1621" max="1621" width="19.625" bestFit="1" customWidth="1"/>
    <col min="1622" max="1622" width="27.375" bestFit="1" customWidth="1"/>
    <col min="1623" max="1623" width="25.625" customWidth="1"/>
    <col min="1624" max="1624" width="27.375" bestFit="1" customWidth="1"/>
    <col min="1625" max="1625" width="23.875" bestFit="1" customWidth="1"/>
    <col min="1626" max="1626" width="27.375" bestFit="1" customWidth="1"/>
    <col min="1627" max="1627" width="24.625" customWidth="1"/>
    <col min="1628" max="1628" width="27.375" bestFit="1" customWidth="1"/>
    <col min="1629" max="1629" width="23.875" bestFit="1" customWidth="1"/>
    <col min="1630" max="1630" width="17.625" customWidth="1"/>
    <col min="1631" max="1631" width="18.125" customWidth="1"/>
    <col min="1632" max="1633" width="29.125" bestFit="1" customWidth="1"/>
    <col min="1634" max="1634" width="33.375" bestFit="1" customWidth="1"/>
    <col min="1635" max="1635" width="32.375" bestFit="1" customWidth="1"/>
    <col min="1636" max="1637" width="28.875" bestFit="1" customWidth="1"/>
    <col min="1638" max="1638" width="33.125" bestFit="1" customWidth="1"/>
    <col min="1639" max="1639" width="29.125" bestFit="1" customWidth="1"/>
    <col min="1640" max="1641" width="25.375" bestFit="1" customWidth="1"/>
    <col min="1642" max="1642" width="29.875" customWidth="1"/>
    <col min="1643" max="1643" width="16.375" bestFit="1" customWidth="1"/>
    <col min="1644" max="1644" width="19.375" bestFit="1" customWidth="1"/>
    <col min="1645" max="1645" width="27.625" bestFit="1" customWidth="1"/>
    <col min="1646" max="1646" width="10.375" bestFit="1" customWidth="1"/>
    <col min="1647" max="1647" width="18.875" bestFit="1" customWidth="1"/>
    <col min="1648" max="1648" width="24.625" customWidth="1"/>
    <col min="1649" max="1649" width="17.625" bestFit="1" customWidth="1"/>
    <col min="1650" max="1650" width="24.875" bestFit="1" customWidth="1"/>
    <col min="1651" max="1651" width="21.875" bestFit="1" customWidth="1"/>
    <col min="1652" max="1652" width="12.125" bestFit="1" customWidth="1"/>
    <col min="1653" max="1653" width="17.375" bestFit="1" customWidth="1"/>
    <col min="1654" max="1654" width="13.375" bestFit="1" customWidth="1"/>
    <col min="1655" max="1655" width="17.375" bestFit="1" customWidth="1"/>
    <col min="1656" max="1663" width="8.625" bestFit="1" customWidth="1"/>
    <col min="1664" max="1664" width="10.125" bestFit="1" customWidth="1"/>
    <col min="1665" max="1668" width="8.625" bestFit="1" customWidth="1"/>
    <col min="1669" max="1669" width="5.625" bestFit="1" customWidth="1"/>
    <col min="1670" max="1670" width="17.375" bestFit="1" customWidth="1"/>
    <col min="1671" max="1671" width="21.875" bestFit="1" customWidth="1"/>
    <col min="1672" max="1672" width="57.375" bestFit="1" customWidth="1"/>
    <col min="1673" max="1673" width="25.375" bestFit="1" customWidth="1"/>
    <col min="1674" max="1674" width="15.625" customWidth="1"/>
    <col min="1675" max="1675" width="32.125" bestFit="1" customWidth="1"/>
    <col min="1676" max="1676" width="22.625" bestFit="1" customWidth="1"/>
    <col min="1677" max="1677" width="24.875" bestFit="1" customWidth="1"/>
    <col min="1678" max="1678" width="25.625" customWidth="1"/>
    <col min="1679" max="1679" width="31.375" bestFit="1" customWidth="1"/>
    <col min="1680" max="1680" width="24.625" customWidth="1"/>
    <col min="1681" max="1681" width="31.625" bestFit="1" customWidth="1"/>
    <col min="1682" max="1682" width="51.625" bestFit="1" customWidth="1"/>
    <col min="1683" max="1683" width="57.375" bestFit="1" customWidth="1"/>
    <col min="1684" max="1684" width="57.125" bestFit="1" customWidth="1"/>
    <col min="1685" max="1685" width="62.875" bestFit="1" customWidth="1"/>
    <col min="1686" max="1686" width="32.125" bestFit="1" customWidth="1"/>
    <col min="1792" max="1792" width="16.875" bestFit="1" customWidth="1"/>
    <col min="1793" max="1793" width="13.125" bestFit="1" customWidth="1"/>
    <col min="1794" max="1794" width="16.875" bestFit="1" customWidth="1"/>
    <col min="1795" max="1795" width="13.875" bestFit="1" customWidth="1"/>
    <col min="1796" max="1796" width="18.875" bestFit="1" customWidth="1"/>
    <col min="1797" max="1797" width="10.375" bestFit="1" customWidth="1"/>
    <col min="1798" max="1799" width="18.875" bestFit="1" customWidth="1"/>
    <col min="1800" max="1800" width="13.375" customWidth="1"/>
    <col min="1801" max="1802" width="18.875" bestFit="1" customWidth="1"/>
    <col min="1803" max="1803" width="15.125" bestFit="1" customWidth="1"/>
    <col min="1804" max="1804" width="15.375" bestFit="1" customWidth="1"/>
    <col min="1805" max="1805" width="16.625" customWidth="1"/>
    <col min="1806" max="1806" width="13.375" customWidth="1"/>
    <col min="1807" max="1807" width="16.875" bestFit="1" customWidth="1"/>
    <col min="1808" max="1808" width="14.875" bestFit="1" customWidth="1"/>
    <col min="1809" max="1809" width="20.625" bestFit="1" customWidth="1"/>
    <col min="1810" max="1810" width="18.375" bestFit="1" customWidth="1"/>
    <col min="1811" max="1811" width="13.375" bestFit="1" customWidth="1"/>
    <col min="1812" max="1812" width="36.375" customWidth="1"/>
    <col min="1813" max="1813" width="36.375" bestFit="1" customWidth="1"/>
    <col min="1814" max="1814" width="24.625" customWidth="1"/>
    <col min="1815" max="1815" width="36.375" bestFit="1" customWidth="1"/>
    <col min="1816" max="1816" width="21.625" bestFit="1" customWidth="1"/>
    <col min="1817" max="1817" width="21.875" bestFit="1" customWidth="1"/>
    <col min="1818" max="1818" width="21.625" bestFit="1" customWidth="1"/>
    <col min="1819" max="1819" width="13.875" bestFit="1" customWidth="1"/>
    <col min="1820" max="1820" width="10.375" bestFit="1" customWidth="1"/>
    <col min="1821" max="1821" width="18.875" bestFit="1" customWidth="1"/>
    <col min="1822" max="1822" width="10.375" bestFit="1" customWidth="1"/>
    <col min="1823" max="1823" width="98.875" bestFit="1" customWidth="1"/>
    <col min="1824" max="1824" width="17.625" bestFit="1" customWidth="1"/>
    <col min="1825" max="1825" width="26.625" bestFit="1" customWidth="1"/>
    <col min="1826" max="1826" width="23.375" bestFit="1" customWidth="1"/>
    <col min="1827" max="1827" width="15.375" bestFit="1" customWidth="1"/>
    <col min="1828" max="1828" width="202.625" customWidth="1"/>
    <col min="1829" max="1829" width="46.625" bestFit="1" customWidth="1"/>
    <col min="1830" max="1830" width="26.125" bestFit="1" customWidth="1"/>
    <col min="1831" max="1831" width="18.875" bestFit="1" customWidth="1"/>
    <col min="1832" max="1832" width="42.125" bestFit="1" customWidth="1"/>
    <col min="1833" max="1834" width="18.875" bestFit="1" customWidth="1"/>
    <col min="1835" max="1835" width="22.375" bestFit="1" customWidth="1"/>
    <col min="1836" max="1836" width="17.625" bestFit="1" customWidth="1"/>
    <col min="1837" max="1837" width="17.375" bestFit="1" customWidth="1"/>
    <col min="1838" max="1838" width="15.125" bestFit="1" customWidth="1"/>
    <col min="1839" max="1839" width="27.875" bestFit="1" customWidth="1"/>
    <col min="1840" max="1840" width="31.375" bestFit="1" customWidth="1"/>
    <col min="1841" max="1841" width="14.125" bestFit="1" customWidth="1"/>
    <col min="1842" max="1842" width="10.625" customWidth="1"/>
    <col min="1843" max="1844" width="20.625" customWidth="1"/>
    <col min="1845" max="1845" width="19.375" bestFit="1" customWidth="1"/>
    <col min="1846" max="1846" width="21.875" bestFit="1" customWidth="1"/>
    <col min="1847" max="1847" width="25.625" customWidth="1"/>
    <col min="1848" max="1848" width="25.875" bestFit="1" customWidth="1"/>
    <col min="1849" max="1849" width="19.625" customWidth="1"/>
    <col min="1850" max="1850" width="35.125" bestFit="1" customWidth="1"/>
    <col min="1851" max="1851" width="27.125" bestFit="1" customWidth="1"/>
    <col min="1852" max="1852" width="36.125" bestFit="1" customWidth="1"/>
    <col min="1853" max="1853" width="27.875" bestFit="1" customWidth="1"/>
    <col min="1854" max="1854" width="19.375" bestFit="1" customWidth="1"/>
    <col min="1855" max="1855" width="17.625" bestFit="1" customWidth="1"/>
    <col min="1856" max="1856" width="30.125" bestFit="1" customWidth="1"/>
    <col min="1857" max="1857" width="25.625" customWidth="1"/>
    <col min="1858" max="1858" width="23.125" bestFit="1" customWidth="1"/>
    <col min="1859" max="1859" width="25.625" customWidth="1"/>
    <col min="1860" max="1860" width="23.125" bestFit="1" customWidth="1"/>
    <col min="1861" max="1861" width="19.625" bestFit="1" customWidth="1"/>
    <col min="1862" max="1862" width="23.125" bestFit="1" customWidth="1"/>
    <col min="1863" max="1863" width="24.625" customWidth="1"/>
    <col min="1864" max="1864" width="23.125" bestFit="1" customWidth="1"/>
    <col min="1865" max="1865" width="19.625" bestFit="1" customWidth="1"/>
    <col min="1866" max="1866" width="17.625" bestFit="1" customWidth="1"/>
    <col min="1867" max="1868" width="21.875" bestFit="1" customWidth="1"/>
    <col min="1869" max="1869" width="25.625" customWidth="1"/>
    <col min="1870" max="1870" width="23.125" bestFit="1" customWidth="1"/>
    <col min="1871" max="1871" width="25.625" customWidth="1"/>
    <col min="1872" max="1872" width="23.125" bestFit="1" customWidth="1"/>
    <col min="1873" max="1873" width="19.625" bestFit="1" customWidth="1"/>
    <col min="1874" max="1874" width="23.125" bestFit="1" customWidth="1"/>
    <col min="1875" max="1875" width="24.625" customWidth="1"/>
    <col min="1876" max="1876" width="23.125" bestFit="1" customWidth="1"/>
    <col min="1877" max="1877" width="19.625" bestFit="1" customWidth="1"/>
    <col min="1878" max="1878" width="27.375" bestFit="1" customWidth="1"/>
    <col min="1879" max="1879" width="25.625" customWidth="1"/>
    <col min="1880" max="1880" width="27.375" bestFit="1" customWidth="1"/>
    <col min="1881" max="1881" width="23.875" bestFit="1" customWidth="1"/>
    <col min="1882" max="1882" width="27.375" bestFit="1" customWidth="1"/>
    <col min="1883" max="1883" width="24.625" customWidth="1"/>
    <col min="1884" max="1884" width="27.375" bestFit="1" customWidth="1"/>
    <col min="1885" max="1885" width="23.875" bestFit="1" customWidth="1"/>
    <col min="1886" max="1886" width="17.625" customWidth="1"/>
    <col min="1887" max="1887" width="18.125" customWidth="1"/>
    <col min="1888" max="1889" width="29.125" bestFit="1" customWidth="1"/>
    <col min="1890" max="1890" width="33.375" bestFit="1" customWidth="1"/>
    <col min="1891" max="1891" width="32.375" bestFit="1" customWidth="1"/>
    <col min="1892" max="1893" width="28.875" bestFit="1" customWidth="1"/>
    <col min="1894" max="1894" width="33.125" bestFit="1" customWidth="1"/>
    <col min="1895" max="1895" width="29.125" bestFit="1" customWidth="1"/>
    <col min="1896" max="1897" width="25.375" bestFit="1" customWidth="1"/>
    <col min="1898" max="1898" width="29.875" customWidth="1"/>
    <col min="1899" max="1899" width="16.375" bestFit="1" customWidth="1"/>
    <col min="1900" max="1900" width="19.375" bestFit="1" customWidth="1"/>
    <col min="1901" max="1901" width="27.625" bestFit="1" customWidth="1"/>
    <col min="1902" max="1902" width="10.375" bestFit="1" customWidth="1"/>
    <col min="1903" max="1903" width="18.875" bestFit="1" customWidth="1"/>
    <col min="1904" max="1904" width="24.625" customWidth="1"/>
    <col min="1905" max="1905" width="17.625" bestFit="1" customWidth="1"/>
    <col min="1906" max="1906" width="24.875" bestFit="1" customWidth="1"/>
    <col min="1907" max="1907" width="21.875" bestFit="1" customWidth="1"/>
    <col min="1908" max="1908" width="12.125" bestFit="1" customWidth="1"/>
    <col min="1909" max="1909" width="17.375" bestFit="1" customWidth="1"/>
    <col min="1910" max="1910" width="13.375" bestFit="1" customWidth="1"/>
    <col min="1911" max="1911" width="17.375" bestFit="1" customWidth="1"/>
    <col min="1912" max="1919" width="8.625" bestFit="1" customWidth="1"/>
    <col min="1920" max="1920" width="10.125" bestFit="1" customWidth="1"/>
    <col min="1921" max="1924" width="8.625" bestFit="1" customWidth="1"/>
    <col min="1925" max="1925" width="5.625" bestFit="1" customWidth="1"/>
    <col min="1926" max="1926" width="17.375" bestFit="1" customWidth="1"/>
    <col min="1927" max="1927" width="21.875" bestFit="1" customWidth="1"/>
    <col min="1928" max="1928" width="57.375" bestFit="1" customWidth="1"/>
    <col min="1929" max="1929" width="25.375" bestFit="1" customWidth="1"/>
    <col min="1930" max="1930" width="15.625" customWidth="1"/>
    <col min="1931" max="1931" width="32.125" bestFit="1" customWidth="1"/>
    <col min="1932" max="1932" width="22.625" bestFit="1" customWidth="1"/>
    <col min="1933" max="1933" width="24.875" bestFit="1" customWidth="1"/>
    <col min="1934" max="1934" width="25.625" customWidth="1"/>
    <col min="1935" max="1935" width="31.375" bestFit="1" customWidth="1"/>
    <col min="1936" max="1936" width="24.625" customWidth="1"/>
    <col min="1937" max="1937" width="31.625" bestFit="1" customWidth="1"/>
    <col min="1938" max="1938" width="51.625" bestFit="1" customWidth="1"/>
    <col min="1939" max="1939" width="57.375" bestFit="1" customWidth="1"/>
    <col min="1940" max="1940" width="57.125" bestFit="1" customWidth="1"/>
    <col min="1941" max="1941" width="62.875" bestFit="1" customWidth="1"/>
    <col min="1942" max="1942" width="32.125" bestFit="1" customWidth="1"/>
    <col min="2048" max="2048" width="16.875" bestFit="1" customWidth="1"/>
    <col min="2049" max="2049" width="13.125" bestFit="1" customWidth="1"/>
    <col min="2050" max="2050" width="16.875" bestFit="1" customWidth="1"/>
    <col min="2051" max="2051" width="13.875" bestFit="1" customWidth="1"/>
    <col min="2052" max="2052" width="18.875" bestFit="1" customWidth="1"/>
    <col min="2053" max="2053" width="10.375" bestFit="1" customWidth="1"/>
    <col min="2054" max="2055" width="18.875" bestFit="1" customWidth="1"/>
    <col min="2056" max="2056" width="13.375" customWidth="1"/>
    <col min="2057" max="2058" width="18.875" bestFit="1" customWidth="1"/>
    <col min="2059" max="2059" width="15.125" bestFit="1" customWidth="1"/>
    <col min="2060" max="2060" width="15.375" bestFit="1" customWidth="1"/>
    <col min="2061" max="2061" width="16.625" customWidth="1"/>
    <col min="2062" max="2062" width="13.375" customWidth="1"/>
    <col min="2063" max="2063" width="16.875" bestFit="1" customWidth="1"/>
    <col min="2064" max="2064" width="14.875" bestFit="1" customWidth="1"/>
    <col min="2065" max="2065" width="20.625" bestFit="1" customWidth="1"/>
    <col min="2066" max="2066" width="18.375" bestFit="1" customWidth="1"/>
    <col min="2067" max="2067" width="13.375" bestFit="1" customWidth="1"/>
    <col min="2068" max="2068" width="36.375" customWidth="1"/>
    <col min="2069" max="2069" width="36.375" bestFit="1" customWidth="1"/>
    <col min="2070" max="2070" width="24.625" customWidth="1"/>
    <col min="2071" max="2071" width="36.375" bestFit="1" customWidth="1"/>
    <col min="2072" max="2072" width="21.625" bestFit="1" customWidth="1"/>
    <col min="2073" max="2073" width="21.875" bestFit="1" customWidth="1"/>
    <col min="2074" max="2074" width="21.625" bestFit="1" customWidth="1"/>
    <col min="2075" max="2075" width="13.875" bestFit="1" customWidth="1"/>
    <col min="2076" max="2076" width="10.375" bestFit="1" customWidth="1"/>
    <col min="2077" max="2077" width="18.875" bestFit="1" customWidth="1"/>
    <col min="2078" max="2078" width="10.375" bestFit="1" customWidth="1"/>
    <col min="2079" max="2079" width="98.875" bestFit="1" customWidth="1"/>
    <col min="2080" max="2080" width="17.625" bestFit="1" customWidth="1"/>
    <col min="2081" max="2081" width="26.625" bestFit="1" customWidth="1"/>
    <col min="2082" max="2082" width="23.375" bestFit="1" customWidth="1"/>
    <col min="2083" max="2083" width="15.375" bestFit="1" customWidth="1"/>
    <col min="2084" max="2084" width="202.625" customWidth="1"/>
    <col min="2085" max="2085" width="46.625" bestFit="1" customWidth="1"/>
    <col min="2086" max="2086" width="26.125" bestFit="1" customWidth="1"/>
    <col min="2087" max="2087" width="18.875" bestFit="1" customWidth="1"/>
    <col min="2088" max="2088" width="42.125" bestFit="1" customWidth="1"/>
    <col min="2089" max="2090" width="18.875" bestFit="1" customWidth="1"/>
    <col min="2091" max="2091" width="22.375" bestFit="1" customWidth="1"/>
    <col min="2092" max="2092" width="17.625" bestFit="1" customWidth="1"/>
    <col min="2093" max="2093" width="17.375" bestFit="1" customWidth="1"/>
    <col min="2094" max="2094" width="15.125" bestFit="1" customWidth="1"/>
    <col min="2095" max="2095" width="27.875" bestFit="1" customWidth="1"/>
    <col min="2096" max="2096" width="31.375" bestFit="1" customWidth="1"/>
    <col min="2097" max="2097" width="14.125" bestFit="1" customWidth="1"/>
    <col min="2098" max="2098" width="10.625" customWidth="1"/>
    <col min="2099" max="2100" width="20.625" customWidth="1"/>
    <col min="2101" max="2101" width="19.375" bestFit="1" customWidth="1"/>
    <col min="2102" max="2102" width="21.875" bestFit="1" customWidth="1"/>
    <col min="2103" max="2103" width="25.625" customWidth="1"/>
    <col min="2104" max="2104" width="25.875" bestFit="1" customWidth="1"/>
    <col min="2105" max="2105" width="19.625" customWidth="1"/>
    <col min="2106" max="2106" width="35.125" bestFit="1" customWidth="1"/>
    <col min="2107" max="2107" width="27.125" bestFit="1" customWidth="1"/>
    <col min="2108" max="2108" width="36.125" bestFit="1" customWidth="1"/>
    <col min="2109" max="2109" width="27.875" bestFit="1" customWidth="1"/>
    <col min="2110" max="2110" width="19.375" bestFit="1" customWidth="1"/>
    <col min="2111" max="2111" width="17.625" bestFit="1" customWidth="1"/>
    <col min="2112" max="2112" width="30.125" bestFit="1" customWidth="1"/>
    <col min="2113" max="2113" width="25.625" customWidth="1"/>
    <col min="2114" max="2114" width="23.125" bestFit="1" customWidth="1"/>
    <col min="2115" max="2115" width="25.625" customWidth="1"/>
    <col min="2116" max="2116" width="23.125" bestFit="1" customWidth="1"/>
    <col min="2117" max="2117" width="19.625" bestFit="1" customWidth="1"/>
    <col min="2118" max="2118" width="23.125" bestFit="1" customWidth="1"/>
    <col min="2119" max="2119" width="24.625" customWidth="1"/>
    <col min="2120" max="2120" width="23.125" bestFit="1" customWidth="1"/>
    <col min="2121" max="2121" width="19.625" bestFit="1" customWidth="1"/>
    <col min="2122" max="2122" width="17.625" bestFit="1" customWidth="1"/>
    <col min="2123" max="2124" width="21.875" bestFit="1" customWidth="1"/>
    <col min="2125" max="2125" width="25.625" customWidth="1"/>
    <col min="2126" max="2126" width="23.125" bestFit="1" customWidth="1"/>
    <col min="2127" max="2127" width="25.625" customWidth="1"/>
    <col min="2128" max="2128" width="23.125" bestFit="1" customWidth="1"/>
    <col min="2129" max="2129" width="19.625" bestFit="1" customWidth="1"/>
    <col min="2130" max="2130" width="23.125" bestFit="1" customWidth="1"/>
    <col min="2131" max="2131" width="24.625" customWidth="1"/>
    <col min="2132" max="2132" width="23.125" bestFit="1" customWidth="1"/>
    <col min="2133" max="2133" width="19.625" bestFit="1" customWidth="1"/>
    <col min="2134" max="2134" width="27.375" bestFit="1" customWidth="1"/>
    <col min="2135" max="2135" width="25.625" customWidth="1"/>
    <col min="2136" max="2136" width="27.375" bestFit="1" customWidth="1"/>
    <col min="2137" max="2137" width="23.875" bestFit="1" customWidth="1"/>
    <col min="2138" max="2138" width="27.375" bestFit="1" customWidth="1"/>
    <col min="2139" max="2139" width="24.625" customWidth="1"/>
    <col min="2140" max="2140" width="27.375" bestFit="1" customWidth="1"/>
    <col min="2141" max="2141" width="23.875" bestFit="1" customWidth="1"/>
    <col min="2142" max="2142" width="17.625" customWidth="1"/>
    <col min="2143" max="2143" width="18.125" customWidth="1"/>
    <col min="2144" max="2145" width="29.125" bestFit="1" customWidth="1"/>
    <col min="2146" max="2146" width="33.375" bestFit="1" customWidth="1"/>
    <col min="2147" max="2147" width="32.375" bestFit="1" customWidth="1"/>
    <col min="2148" max="2149" width="28.875" bestFit="1" customWidth="1"/>
    <col min="2150" max="2150" width="33.125" bestFit="1" customWidth="1"/>
    <col min="2151" max="2151" width="29.125" bestFit="1" customWidth="1"/>
    <col min="2152" max="2153" width="25.375" bestFit="1" customWidth="1"/>
    <col min="2154" max="2154" width="29.875" customWidth="1"/>
    <col min="2155" max="2155" width="16.375" bestFit="1" customWidth="1"/>
    <col min="2156" max="2156" width="19.375" bestFit="1" customWidth="1"/>
    <col min="2157" max="2157" width="27.625" bestFit="1" customWidth="1"/>
    <col min="2158" max="2158" width="10.375" bestFit="1" customWidth="1"/>
    <col min="2159" max="2159" width="18.875" bestFit="1" customWidth="1"/>
    <col min="2160" max="2160" width="24.625" customWidth="1"/>
    <col min="2161" max="2161" width="17.625" bestFit="1" customWidth="1"/>
    <col min="2162" max="2162" width="24.875" bestFit="1" customWidth="1"/>
    <col min="2163" max="2163" width="21.875" bestFit="1" customWidth="1"/>
    <col min="2164" max="2164" width="12.125" bestFit="1" customWidth="1"/>
    <col min="2165" max="2165" width="17.375" bestFit="1" customWidth="1"/>
    <col min="2166" max="2166" width="13.375" bestFit="1" customWidth="1"/>
    <col min="2167" max="2167" width="17.375" bestFit="1" customWidth="1"/>
    <col min="2168" max="2175" width="8.625" bestFit="1" customWidth="1"/>
    <col min="2176" max="2176" width="10.125" bestFit="1" customWidth="1"/>
    <col min="2177" max="2180" width="8.625" bestFit="1" customWidth="1"/>
    <col min="2181" max="2181" width="5.625" bestFit="1" customWidth="1"/>
    <col min="2182" max="2182" width="17.375" bestFit="1" customWidth="1"/>
    <col min="2183" max="2183" width="21.875" bestFit="1" customWidth="1"/>
    <col min="2184" max="2184" width="57.375" bestFit="1" customWidth="1"/>
    <col min="2185" max="2185" width="25.375" bestFit="1" customWidth="1"/>
    <col min="2186" max="2186" width="15.625" customWidth="1"/>
    <col min="2187" max="2187" width="32.125" bestFit="1" customWidth="1"/>
    <col min="2188" max="2188" width="22.625" bestFit="1" customWidth="1"/>
    <col min="2189" max="2189" width="24.875" bestFit="1" customWidth="1"/>
    <col min="2190" max="2190" width="25.625" customWidth="1"/>
    <col min="2191" max="2191" width="31.375" bestFit="1" customWidth="1"/>
    <col min="2192" max="2192" width="24.625" customWidth="1"/>
    <col min="2193" max="2193" width="31.625" bestFit="1" customWidth="1"/>
    <col min="2194" max="2194" width="51.625" bestFit="1" customWidth="1"/>
    <col min="2195" max="2195" width="57.375" bestFit="1" customWidth="1"/>
    <col min="2196" max="2196" width="57.125" bestFit="1" customWidth="1"/>
    <col min="2197" max="2197" width="62.875" bestFit="1" customWidth="1"/>
    <col min="2198" max="2198" width="32.125" bestFit="1" customWidth="1"/>
    <col min="2304" max="2304" width="16.875" bestFit="1" customWidth="1"/>
    <col min="2305" max="2305" width="13.125" bestFit="1" customWidth="1"/>
    <col min="2306" max="2306" width="16.875" bestFit="1" customWidth="1"/>
    <col min="2307" max="2307" width="13.875" bestFit="1" customWidth="1"/>
    <col min="2308" max="2308" width="18.875" bestFit="1" customWidth="1"/>
    <col min="2309" max="2309" width="10.375" bestFit="1" customWidth="1"/>
    <col min="2310" max="2311" width="18.875" bestFit="1" customWidth="1"/>
    <col min="2312" max="2312" width="13.375" customWidth="1"/>
    <col min="2313" max="2314" width="18.875" bestFit="1" customWidth="1"/>
    <col min="2315" max="2315" width="15.125" bestFit="1" customWidth="1"/>
    <col min="2316" max="2316" width="15.375" bestFit="1" customWidth="1"/>
    <col min="2317" max="2317" width="16.625" customWidth="1"/>
    <col min="2318" max="2318" width="13.375" customWidth="1"/>
    <col min="2319" max="2319" width="16.875" bestFit="1" customWidth="1"/>
    <col min="2320" max="2320" width="14.875" bestFit="1" customWidth="1"/>
    <col min="2321" max="2321" width="20.625" bestFit="1" customWidth="1"/>
    <col min="2322" max="2322" width="18.375" bestFit="1" customWidth="1"/>
    <col min="2323" max="2323" width="13.375" bestFit="1" customWidth="1"/>
    <col min="2324" max="2324" width="36.375" customWidth="1"/>
    <col min="2325" max="2325" width="36.375" bestFit="1" customWidth="1"/>
    <col min="2326" max="2326" width="24.625" customWidth="1"/>
    <col min="2327" max="2327" width="36.375" bestFit="1" customWidth="1"/>
    <col min="2328" max="2328" width="21.625" bestFit="1" customWidth="1"/>
    <col min="2329" max="2329" width="21.875" bestFit="1" customWidth="1"/>
    <col min="2330" max="2330" width="21.625" bestFit="1" customWidth="1"/>
    <col min="2331" max="2331" width="13.875" bestFit="1" customWidth="1"/>
    <col min="2332" max="2332" width="10.375" bestFit="1" customWidth="1"/>
    <col min="2333" max="2333" width="18.875" bestFit="1" customWidth="1"/>
    <col min="2334" max="2334" width="10.375" bestFit="1" customWidth="1"/>
    <col min="2335" max="2335" width="98.875" bestFit="1" customWidth="1"/>
    <col min="2336" max="2336" width="17.625" bestFit="1" customWidth="1"/>
    <col min="2337" max="2337" width="26.625" bestFit="1" customWidth="1"/>
    <col min="2338" max="2338" width="23.375" bestFit="1" customWidth="1"/>
    <col min="2339" max="2339" width="15.375" bestFit="1" customWidth="1"/>
    <col min="2340" max="2340" width="202.625" customWidth="1"/>
    <col min="2341" max="2341" width="46.625" bestFit="1" customWidth="1"/>
    <col min="2342" max="2342" width="26.125" bestFit="1" customWidth="1"/>
    <col min="2343" max="2343" width="18.875" bestFit="1" customWidth="1"/>
    <col min="2344" max="2344" width="42.125" bestFit="1" customWidth="1"/>
    <col min="2345" max="2346" width="18.875" bestFit="1" customWidth="1"/>
    <col min="2347" max="2347" width="22.375" bestFit="1" customWidth="1"/>
    <col min="2348" max="2348" width="17.625" bestFit="1" customWidth="1"/>
    <col min="2349" max="2349" width="17.375" bestFit="1" customWidth="1"/>
    <col min="2350" max="2350" width="15.125" bestFit="1" customWidth="1"/>
    <col min="2351" max="2351" width="27.875" bestFit="1" customWidth="1"/>
    <col min="2352" max="2352" width="31.375" bestFit="1" customWidth="1"/>
    <col min="2353" max="2353" width="14.125" bestFit="1" customWidth="1"/>
    <col min="2354" max="2354" width="10.625" customWidth="1"/>
    <col min="2355" max="2356" width="20.625" customWidth="1"/>
    <col min="2357" max="2357" width="19.375" bestFit="1" customWidth="1"/>
    <col min="2358" max="2358" width="21.875" bestFit="1" customWidth="1"/>
    <col min="2359" max="2359" width="25.625" customWidth="1"/>
    <col min="2360" max="2360" width="25.875" bestFit="1" customWidth="1"/>
    <col min="2361" max="2361" width="19.625" customWidth="1"/>
    <col min="2362" max="2362" width="35.125" bestFit="1" customWidth="1"/>
    <col min="2363" max="2363" width="27.125" bestFit="1" customWidth="1"/>
    <col min="2364" max="2364" width="36.125" bestFit="1" customWidth="1"/>
    <col min="2365" max="2365" width="27.875" bestFit="1" customWidth="1"/>
    <col min="2366" max="2366" width="19.375" bestFit="1" customWidth="1"/>
    <col min="2367" max="2367" width="17.625" bestFit="1" customWidth="1"/>
    <col min="2368" max="2368" width="30.125" bestFit="1" customWidth="1"/>
    <col min="2369" max="2369" width="25.625" customWidth="1"/>
    <col min="2370" max="2370" width="23.125" bestFit="1" customWidth="1"/>
    <col min="2371" max="2371" width="25.625" customWidth="1"/>
    <col min="2372" max="2372" width="23.125" bestFit="1" customWidth="1"/>
    <col min="2373" max="2373" width="19.625" bestFit="1" customWidth="1"/>
    <col min="2374" max="2374" width="23.125" bestFit="1" customWidth="1"/>
    <col min="2375" max="2375" width="24.625" customWidth="1"/>
    <col min="2376" max="2376" width="23.125" bestFit="1" customWidth="1"/>
    <col min="2377" max="2377" width="19.625" bestFit="1" customWidth="1"/>
    <col min="2378" max="2378" width="17.625" bestFit="1" customWidth="1"/>
    <col min="2379" max="2380" width="21.875" bestFit="1" customWidth="1"/>
    <col min="2381" max="2381" width="25.625" customWidth="1"/>
    <col min="2382" max="2382" width="23.125" bestFit="1" customWidth="1"/>
    <col min="2383" max="2383" width="25.625" customWidth="1"/>
    <col min="2384" max="2384" width="23.125" bestFit="1" customWidth="1"/>
    <col min="2385" max="2385" width="19.625" bestFit="1" customWidth="1"/>
    <col min="2386" max="2386" width="23.125" bestFit="1" customWidth="1"/>
    <col min="2387" max="2387" width="24.625" customWidth="1"/>
    <col min="2388" max="2388" width="23.125" bestFit="1" customWidth="1"/>
    <col min="2389" max="2389" width="19.625" bestFit="1" customWidth="1"/>
    <col min="2390" max="2390" width="27.375" bestFit="1" customWidth="1"/>
    <col min="2391" max="2391" width="25.625" customWidth="1"/>
    <col min="2392" max="2392" width="27.375" bestFit="1" customWidth="1"/>
    <col min="2393" max="2393" width="23.875" bestFit="1" customWidth="1"/>
    <col min="2394" max="2394" width="27.375" bestFit="1" customWidth="1"/>
    <col min="2395" max="2395" width="24.625" customWidth="1"/>
    <col min="2396" max="2396" width="27.375" bestFit="1" customWidth="1"/>
    <col min="2397" max="2397" width="23.875" bestFit="1" customWidth="1"/>
    <col min="2398" max="2398" width="17.625" customWidth="1"/>
    <col min="2399" max="2399" width="18.125" customWidth="1"/>
    <col min="2400" max="2401" width="29.125" bestFit="1" customWidth="1"/>
    <col min="2402" max="2402" width="33.375" bestFit="1" customWidth="1"/>
    <col min="2403" max="2403" width="32.375" bestFit="1" customWidth="1"/>
    <col min="2404" max="2405" width="28.875" bestFit="1" customWidth="1"/>
    <col min="2406" max="2406" width="33.125" bestFit="1" customWidth="1"/>
    <col min="2407" max="2407" width="29.125" bestFit="1" customWidth="1"/>
    <col min="2408" max="2409" width="25.375" bestFit="1" customWidth="1"/>
    <col min="2410" max="2410" width="29.875" customWidth="1"/>
    <col min="2411" max="2411" width="16.375" bestFit="1" customWidth="1"/>
    <col min="2412" max="2412" width="19.375" bestFit="1" customWidth="1"/>
    <col min="2413" max="2413" width="27.625" bestFit="1" customWidth="1"/>
    <col min="2414" max="2414" width="10.375" bestFit="1" customWidth="1"/>
    <col min="2415" max="2415" width="18.875" bestFit="1" customWidth="1"/>
    <col min="2416" max="2416" width="24.625" customWidth="1"/>
    <col min="2417" max="2417" width="17.625" bestFit="1" customWidth="1"/>
    <col min="2418" max="2418" width="24.875" bestFit="1" customWidth="1"/>
    <col min="2419" max="2419" width="21.875" bestFit="1" customWidth="1"/>
    <col min="2420" max="2420" width="12.125" bestFit="1" customWidth="1"/>
    <col min="2421" max="2421" width="17.375" bestFit="1" customWidth="1"/>
    <col min="2422" max="2422" width="13.375" bestFit="1" customWidth="1"/>
    <col min="2423" max="2423" width="17.375" bestFit="1" customWidth="1"/>
    <col min="2424" max="2431" width="8.625" bestFit="1" customWidth="1"/>
    <col min="2432" max="2432" width="10.125" bestFit="1" customWidth="1"/>
    <col min="2433" max="2436" width="8.625" bestFit="1" customWidth="1"/>
    <col min="2437" max="2437" width="5.625" bestFit="1" customWidth="1"/>
    <col min="2438" max="2438" width="17.375" bestFit="1" customWidth="1"/>
    <col min="2439" max="2439" width="21.875" bestFit="1" customWidth="1"/>
    <col min="2440" max="2440" width="57.375" bestFit="1" customWidth="1"/>
    <col min="2441" max="2441" width="25.375" bestFit="1" customWidth="1"/>
    <col min="2442" max="2442" width="15.625" customWidth="1"/>
    <col min="2443" max="2443" width="32.125" bestFit="1" customWidth="1"/>
    <col min="2444" max="2444" width="22.625" bestFit="1" customWidth="1"/>
    <col min="2445" max="2445" width="24.875" bestFit="1" customWidth="1"/>
    <col min="2446" max="2446" width="25.625" customWidth="1"/>
    <col min="2447" max="2447" width="31.375" bestFit="1" customWidth="1"/>
    <col min="2448" max="2448" width="24.625" customWidth="1"/>
    <col min="2449" max="2449" width="31.625" bestFit="1" customWidth="1"/>
    <col min="2450" max="2450" width="51.625" bestFit="1" customWidth="1"/>
    <col min="2451" max="2451" width="57.375" bestFit="1" customWidth="1"/>
    <col min="2452" max="2452" width="57.125" bestFit="1" customWidth="1"/>
    <col min="2453" max="2453" width="62.875" bestFit="1" customWidth="1"/>
    <col min="2454" max="2454" width="32.125" bestFit="1" customWidth="1"/>
    <col min="2560" max="2560" width="16.875" bestFit="1" customWidth="1"/>
    <col min="2561" max="2561" width="13.125" bestFit="1" customWidth="1"/>
    <col min="2562" max="2562" width="16.875" bestFit="1" customWidth="1"/>
    <col min="2563" max="2563" width="13.875" bestFit="1" customWidth="1"/>
    <col min="2564" max="2564" width="18.875" bestFit="1" customWidth="1"/>
    <col min="2565" max="2565" width="10.375" bestFit="1" customWidth="1"/>
    <col min="2566" max="2567" width="18.875" bestFit="1" customWidth="1"/>
    <col min="2568" max="2568" width="13.375" customWidth="1"/>
    <col min="2569" max="2570" width="18.875" bestFit="1" customWidth="1"/>
    <col min="2571" max="2571" width="15.125" bestFit="1" customWidth="1"/>
    <col min="2572" max="2572" width="15.375" bestFit="1" customWidth="1"/>
    <col min="2573" max="2573" width="16.625" customWidth="1"/>
    <col min="2574" max="2574" width="13.375" customWidth="1"/>
    <col min="2575" max="2575" width="16.875" bestFit="1" customWidth="1"/>
    <col min="2576" max="2576" width="14.875" bestFit="1" customWidth="1"/>
    <col min="2577" max="2577" width="20.625" bestFit="1" customWidth="1"/>
    <col min="2578" max="2578" width="18.375" bestFit="1" customWidth="1"/>
    <col min="2579" max="2579" width="13.375" bestFit="1" customWidth="1"/>
    <col min="2580" max="2580" width="36.375" customWidth="1"/>
    <col min="2581" max="2581" width="36.375" bestFit="1" customWidth="1"/>
    <col min="2582" max="2582" width="24.625" customWidth="1"/>
    <col min="2583" max="2583" width="36.375" bestFit="1" customWidth="1"/>
    <col min="2584" max="2584" width="21.625" bestFit="1" customWidth="1"/>
    <col min="2585" max="2585" width="21.875" bestFit="1" customWidth="1"/>
    <col min="2586" max="2586" width="21.625" bestFit="1" customWidth="1"/>
    <col min="2587" max="2587" width="13.875" bestFit="1" customWidth="1"/>
    <col min="2588" max="2588" width="10.375" bestFit="1" customWidth="1"/>
    <col min="2589" max="2589" width="18.875" bestFit="1" customWidth="1"/>
    <col min="2590" max="2590" width="10.375" bestFit="1" customWidth="1"/>
    <col min="2591" max="2591" width="98.875" bestFit="1" customWidth="1"/>
    <col min="2592" max="2592" width="17.625" bestFit="1" customWidth="1"/>
    <col min="2593" max="2593" width="26.625" bestFit="1" customWidth="1"/>
    <col min="2594" max="2594" width="23.375" bestFit="1" customWidth="1"/>
    <col min="2595" max="2595" width="15.375" bestFit="1" customWidth="1"/>
    <col min="2596" max="2596" width="202.625" customWidth="1"/>
    <col min="2597" max="2597" width="46.625" bestFit="1" customWidth="1"/>
    <col min="2598" max="2598" width="26.125" bestFit="1" customWidth="1"/>
    <col min="2599" max="2599" width="18.875" bestFit="1" customWidth="1"/>
    <col min="2600" max="2600" width="42.125" bestFit="1" customWidth="1"/>
    <col min="2601" max="2602" width="18.875" bestFit="1" customWidth="1"/>
    <col min="2603" max="2603" width="22.375" bestFit="1" customWidth="1"/>
    <col min="2604" max="2604" width="17.625" bestFit="1" customWidth="1"/>
    <col min="2605" max="2605" width="17.375" bestFit="1" customWidth="1"/>
    <col min="2606" max="2606" width="15.125" bestFit="1" customWidth="1"/>
    <col min="2607" max="2607" width="27.875" bestFit="1" customWidth="1"/>
    <col min="2608" max="2608" width="31.375" bestFit="1" customWidth="1"/>
    <col min="2609" max="2609" width="14.125" bestFit="1" customWidth="1"/>
    <col min="2610" max="2610" width="10.625" customWidth="1"/>
    <col min="2611" max="2612" width="20.625" customWidth="1"/>
    <col min="2613" max="2613" width="19.375" bestFit="1" customWidth="1"/>
    <col min="2614" max="2614" width="21.875" bestFit="1" customWidth="1"/>
    <col min="2615" max="2615" width="25.625" customWidth="1"/>
    <col min="2616" max="2616" width="25.875" bestFit="1" customWidth="1"/>
    <col min="2617" max="2617" width="19.625" customWidth="1"/>
    <col min="2618" max="2618" width="35.125" bestFit="1" customWidth="1"/>
    <col min="2619" max="2619" width="27.125" bestFit="1" customWidth="1"/>
    <col min="2620" max="2620" width="36.125" bestFit="1" customWidth="1"/>
    <col min="2621" max="2621" width="27.875" bestFit="1" customWidth="1"/>
    <col min="2622" max="2622" width="19.375" bestFit="1" customWidth="1"/>
    <col min="2623" max="2623" width="17.625" bestFit="1" customWidth="1"/>
    <col min="2624" max="2624" width="30.125" bestFit="1" customWidth="1"/>
    <col min="2625" max="2625" width="25.625" customWidth="1"/>
    <col min="2626" max="2626" width="23.125" bestFit="1" customWidth="1"/>
    <col min="2627" max="2627" width="25.625" customWidth="1"/>
    <col min="2628" max="2628" width="23.125" bestFit="1" customWidth="1"/>
    <col min="2629" max="2629" width="19.625" bestFit="1" customWidth="1"/>
    <col min="2630" max="2630" width="23.125" bestFit="1" customWidth="1"/>
    <col min="2631" max="2631" width="24.625" customWidth="1"/>
    <col min="2632" max="2632" width="23.125" bestFit="1" customWidth="1"/>
    <col min="2633" max="2633" width="19.625" bestFit="1" customWidth="1"/>
    <col min="2634" max="2634" width="17.625" bestFit="1" customWidth="1"/>
    <col min="2635" max="2636" width="21.875" bestFit="1" customWidth="1"/>
    <col min="2637" max="2637" width="25.625" customWidth="1"/>
    <col min="2638" max="2638" width="23.125" bestFit="1" customWidth="1"/>
    <col min="2639" max="2639" width="25.625" customWidth="1"/>
    <col min="2640" max="2640" width="23.125" bestFit="1" customWidth="1"/>
    <col min="2641" max="2641" width="19.625" bestFit="1" customWidth="1"/>
    <col min="2642" max="2642" width="23.125" bestFit="1" customWidth="1"/>
    <col min="2643" max="2643" width="24.625" customWidth="1"/>
    <col min="2644" max="2644" width="23.125" bestFit="1" customWidth="1"/>
    <col min="2645" max="2645" width="19.625" bestFit="1" customWidth="1"/>
    <col min="2646" max="2646" width="27.375" bestFit="1" customWidth="1"/>
    <col min="2647" max="2647" width="25.625" customWidth="1"/>
    <col min="2648" max="2648" width="27.375" bestFit="1" customWidth="1"/>
    <col min="2649" max="2649" width="23.875" bestFit="1" customWidth="1"/>
    <col min="2650" max="2650" width="27.375" bestFit="1" customWidth="1"/>
    <col min="2651" max="2651" width="24.625" customWidth="1"/>
    <col min="2652" max="2652" width="27.375" bestFit="1" customWidth="1"/>
    <col min="2653" max="2653" width="23.875" bestFit="1" customWidth="1"/>
    <col min="2654" max="2654" width="17.625" customWidth="1"/>
    <col min="2655" max="2655" width="18.125" customWidth="1"/>
    <col min="2656" max="2657" width="29.125" bestFit="1" customWidth="1"/>
    <col min="2658" max="2658" width="33.375" bestFit="1" customWidth="1"/>
    <col min="2659" max="2659" width="32.375" bestFit="1" customWidth="1"/>
    <col min="2660" max="2661" width="28.875" bestFit="1" customWidth="1"/>
    <col min="2662" max="2662" width="33.125" bestFit="1" customWidth="1"/>
    <col min="2663" max="2663" width="29.125" bestFit="1" customWidth="1"/>
    <col min="2664" max="2665" width="25.375" bestFit="1" customWidth="1"/>
    <col min="2666" max="2666" width="29.875" customWidth="1"/>
    <col min="2667" max="2667" width="16.375" bestFit="1" customWidth="1"/>
    <col min="2668" max="2668" width="19.375" bestFit="1" customWidth="1"/>
    <col min="2669" max="2669" width="27.625" bestFit="1" customWidth="1"/>
    <col min="2670" max="2670" width="10.375" bestFit="1" customWidth="1"/>
    <col min="2671" max="2671" width="18.875" bestFit="1" customWidth="1"/>
    <col min="2672" max="2672" width="24.625" customWidth="1"/>
    <col min="2673" max="2673" width="17.625" bestFit="1" customWidth="1"/>
    <col min="2674" max="2674" width="24.875" bestFit="1" customWidth="1"/>
    <col min="2675" max="2675" width="21.875" bestFit="1" customWidth="1"/>
    <col min="2676" max="2676" width="12.125" bestFit="1" customWidth="1"/>
    <col min="2677" max="2677" width="17.375" bestFit="1" customWidth="1"/>
    <col min="2678" max="2678" width="13.375" bestFit="1" customWidth="1"/>
    <col min="2679" max="2679" width="17.375" bestFit="1" customWidth="1"/>
    <col min="2680" max="2687" width="8.625" bestFit="1" customWidth="1"/>
    <col min="2688" max="2688" width="10.125" bestFit="1" customWidth="1"/>
    <col min="2689" max="2692" width="8.625" bestFit="1" customWidth="1"/>
    <col min="2693" max="2693" width="5.625" bestFit="1" customWidth="1"/>
    <col min="2694" max="2694" width="17.375" bestFit="1" customWidth="1"/>
    <col min="2695" max="2695" width="21.875" bestFit="1" customWidth="1"/>
    <col min="2696" max="2696" width="57.375" bestFit="1" customWidth="1"/>
    <col min="2697" max="2697" width="25.375" bestFit="1" customWidth="1"/>
    <col min="2698" max="2698" width="15.625" customWidth="1"/>
    <col min="2699" max="2699" width="32.125" bestFit="1" customWidth="1"/>
    <col min="2700" max="2700" width="22.625" bestFit="1" customWidth="1"/>
    <col min="2701" max="2701" width="24.875" bestFit="1" customWidth="1"/>
    <col min="2702" max="2702" width="25.625" customWidth="1"/>
    <col min="2703" max="2703" width="31.375" bestFit="1" customWidth="1"/>
    <col min="2704" max="2704" width="24.625" customWidth="1"/>
    <col min="2705" max="2705" width="31.625" bestFit="1" customWidth="1"/>
    <col min="2706" max="2706" width="51.625" bestFit="1" customWidth="1"/>
    <col min="2707" max="2707" width="57.375" bestFit="1" customWidth="1"/>
    <col min="2708" max="2708" width="57.125" bestFit="1" customWidth="1"/>
    <col min="2709" max="2709" width="62.875" bestFit="1" customWidth="1"/>
    <col min="2710" max="2710" width="32.125" bestFit="1" customWidth="1"/>
    <col min="2816" max="2816" width="16.875" bestFit="1" customWidth="1"/>
    <col min="2817" max="2817" width="13.125" bestFit="1" customWidth="1"/>
    <col min="2818" max="2818" width="16.875" bestFit="1" customWidth="1"/>
    <col min="2819" max="2819" width="13.875" bestFit="1" customWidth="1"/>
    <col min="2820" max="2820" width="18.875" bestFit="1" customWidth="1"/>
    <col min="2821" max="2821" width="10.375" bestFit="1" customWidth="1"/>
    <col min="2822" max="2823" width="18.875" bestFit="1" customWidth="1"/>
    <col min="2824" max="2824" width="13.375" customWidth="1"/>
    <col min="2825" max="2826" width="18.875" bestFit="1" customWidth="1"/>
    <col min="2827" max="2827" width="15.125" bestFit="1" customWidth="1"/>
    <col min="2828" max="2828" width="15.375" bestFit="1" customWidth="1"/>
    <col min="2829" max="2829" width="16.625" customWidth="1"/>
    <col min="2830" max="2830" width="13.375" customWidth="1"/>
    <col min="2831" max="2831" width="16.875" bestFit="1" customWidth="1"/>
    <col min="2832" max="2832" width="14.875" bestFit="1" customWidth="1"/>
    <col min="2833" max="2833" width="20.625" bestFit="1" customWidth="1"/>
    <col min="2834" max="2834" width="18.375" bestFit="1" customWidth="1"/>
    <col min="2835" max="2835" width="13.375" bestFit="1" customWidth="1"/>
    <col min="2836" max="2836" width="36.375" customWidth="1"/>
    <col min="2837" max="2837" width="36.375" bestFit="1" customWidth="1"/>
    <col min="2838" max="2838" width="24.625" customWidth="1"/>
    <col min="2839" max="2839" width="36.375" bestFit="1" customWidth="1"/>
    <col min="2840" max="2840" width="21.625" bestFit="1" customWidth="1"/>
    <col min="2841" max="2841" width="21.875" bestFit="1" customWidth="1"/>
    <col min="2842" max="2842" width="21.625" bestFit="1" customWidth="1"/>
    <col min="2843" max="2843" width="13.875" bestFit="1" customWidth="1"/>
    <col min="2844" max="2844" width="10.375" bestFit="1" customWidth="1"/>
    <col min="2845" max="2845" width="18.875" bestFit="1" customWidth="1"/>
    <col min="2846" max="2846" width="10.375" bestFit="1" customWidth="1"/>
    <col min="2847" max="2847" width="98.875" bestFit="1" customWidth="1"/>
    <col min="2848" max="2848" width="17.625" bestFit="1" customWidth="1"/>
    <col min="2849" max="2849" width="26.625" bestFit="1" customWidth="1"/>
    <col min="2850" max="2850" width="23.375" bestFit="1" customWidth="1"/>
    <col min="2851" max="2851" width="15.375" bestFit="1" customWidth="1"/>
    <col min="2852" max="2852" width="202.625" customWidth="1"/>
    <col min="2853" max="2853" width="46.625" bestFit="1" customWidth="1"/>
    <col min="2854" max="2854" width="26.125" bestFit="1" customWidth="1"/>
    <col min="2855" max="2855" width="18.875" bestFit="1" customWidth="1"/>
    <col min="2856" max="2856" width="42.125" bestFit="1" customWidth="1"/>
    <col min="2857" max="2858" width="18.875" bestFit="1" customWidth="1"/>
    <col min="2859" max="2859" width="22.375" bestFit="1" customWidth="1"/>
    <col min="2860" max="2860" width="17.625" bestFit="1" customWidth="1"/>
    <col min="2861" max="2861" width="17.375" bestFit="1" customWidth="1"/>
    <col min="2862" max="2862" width="15.125" bestFit="1" customWidth="1"/>
    <col min="2863" max="2863" width="27.875" bestFit="1" customWidth="1"/>
    <col min="2864" max="2864" width="31.375" bestFit="1" customWidth="1"/>
    <col min="2865" max="2865" width="14.125" bestFit="1" customWidth="1"/>
    <col min="2866" max="2866" width="10.625" customWidth="1"/>
    <col min="2867" max="2868" width="20.625" customWidth="1"/>
    <col min="2869" max="2869" width="19.375" bestFit="1" customWidth="1"/>
    <col min="2870" max="2870" width="21.875" bestFit="1" customWidth="1"/>
    <col min="2871" max="2871" width="25.625" customWidth="1"/>
    <col min="2872" max="2872" width="25.875" bestFit="1" customWidth="1"/>
    <col min="2873" max="2873" width="19.625" customWidth="1"/>
    <col min="2874" max="2874" width="35.125" bestFit="1" customWidth="1"/>
    <col min="2875" max="2875" width="27.125" bestFit="1" customWidth="1"/>
    <col min="2876" max="2876" width="36.125" bestFit="1" customWidth="1"/>
    <col min="2877" max="2877" width="27.875" bestFit="1" customWidth="1"/>
    <col min="2878" max="2878" width="19.375" bestFit="1" customWidth="1"/>
    <col min="2879" max="2879" width="17.625" bestFit="1" customWidth="1"/>
    <col min="2880" max="2880" width="30.125" bestFit="1" customWidth="1"/>
    <col min="2881" max="2881" width="25.625" customWidth="1"/>
    <col min="2882" max="2882" width="23.125" bestFit="1" customWidth="1"/>
    <col min="2883" max="2883" width="25.625" customWidth="1"/>
    <col min="2884" max="2884" width="23.125" bestFit="1" customWidth="1"/>
    <col min="2885" max="2885" width="19.625" bestFit="1" customWidth="1"/>
    <col min="2886" max="2886" width="23.125" bestFit="1" customWidth="1"/>
    <col min="2887" max="2887" width="24.625" customWidth="1"/>
    <col min="2888" max="2888" width="23.125" bestFit="1" customWidth="1"/>
    <col min="2889" max="2889" width="19.625" bestFit="1" customWidth="1"/>
    <col min="2890" max="2890" width="17.625" bestFit="1" customWidth="1"/>
    <col min="2891" max="2892" width="21.875" bestFit="1" customWidth="1"/>
    <col min="2893" max="2893" width="25.625" customWidth="1"/>
    <col min="2894" max="2894" width="23.125" bestFit="1" customWidth="1"/>
    <col min="2895" max="2895" width="25.625" customWidth="1"/>
    <col min="2896" max="2896" width="23.125" bestFit="1" customWidth="1"/>
    <col min="2897" max="2897" width="19.625" bestFit="1" customWidth="1"/>
    <col min="2898" max="2898" width="23.125" bestFit="1" customWidth="1"/>
    <col min="2899" max="2899" width="24.625" customWidth="1"/>
    <col min="2900" max="2900" width="23.125" bestFit="1" customWidth="1"/>
    <col min="2901" max="2901" width="19.625" bestFit="1" customWidth="1"/>
    <col min="2902" max="2902" width="27.375" bestFit="1" customWidth="1"/>
    <col min="2903" max="2903" width="25.625" customWidth="1"/>
    <col min="2904" max="2904" width="27.375" bestFit="1" customWidth="1"/>
    <col min="2905" max="2905" width="23.875" bestFit="1" customWidth="1"/>
    <col min="2906" max="2906" width="27.375" bestFit="1" customWidth="1"/>
    <col min="2907" max="2907" width="24.625" customWidth="1"/>
    <col min="2908" max="2908" width="27.375" bestFit="1" customWidth="1"/>
    <col min="2909" max="2909" width="23.875" bestFit="1" customWidth="1"/>
    <col min="2910" max="2910" width="17.625" customWidth="1"/>
    <col min="2911" max="2911" width="18.125" customWidth="1"/>
    <col min="2912" max="2913" width="29.125" bestFit="1" customWidth="1"/>
    <col min="2914" max="2914" width="33.375" bestFit="1" customWidth="1"/>
    <col min="2915" max="2915" width="32.375" bestFit="1" customWidth="1"/>
    <col min="2916" max="2917" width="28.875" bestFit="1" customWidth="1"/>
    <col min="2918" max="2918" width="33.125" bestFit="1" customWidth="1"/>
    <col min="2919" max="2919" width="29.125" bestFit="1" customWidth="1"/>
    <col min="2920" max="2921" width="25.375" bestFit="1" customWidth="1"/>
    <col min="2922" max="2922" width="29.875" customWidth="1"/>
    <col min="2923" max="2923" width="16.375" bestFit="1" customWidth="1"/>
    <col min="2924" max="2924" width="19.375" bestFit="1" customWidth="1"/>
    <col min="2925" max="2925" width="27.625" bestFit="1" customWidth="1"/>
    <col min="2926" max="2926" width="10.375" bestFit="1" customWidth="1"/>
    <col min="2927" max="2927" width="18.875" bestFit="1" customWidth="1"/>
    <col min="2928" max="2928" width="24.625" customWidth="1"/>
    <col min="2929" max="2929" width="17.625" bestFit="1" customWidth="1"/>
    <col min="2930" max="2930" width="24.875" bestFit="1" customWidth="1"/>
    <col min="2931" max="2931" width="21.875" bestFit="1" customWidth="1"/>
    <col min="2932" max="2932" width="12.125" bestFit="1" customWidth="1"/>
    <col min="2933" max="2933" width="17.375" bestFit="1" customWidth="1"/>
    <col min="2934" max="2934" width="13.375" bestFit="1" customWidth="1"/>
    <col min="2935" max="2935" width="17.375" bestFit="1" customWidth="1"/>
    <col min="2936" max="2943" width="8.625" bestFit="1" customWidth="1"/>
    <col min="2944" max="2944" width="10.125" bestFit="1" customWidth="1"/>
    <col min="2945" max="2948" width="8.625" bestFit="1" customWidth="1"/>
    <col min="2949" max="2949" width="5.625" bestFit="1" customWidth="1"/>
    <col min="2950" max="2950" width="17.375" bestFit="1" customWidth="1"/>
    <col min="2951" max="2951" width="21.875" bestFit="1" customWidth="1"/>
    <col min="2952" max="2952" width="57.375" bestFit="1" customWidth="1"/>
    <col min="2953" max="2953" width="25.375" bestFit="1" customWidth="1"/>
    <col min="2954" max="2954" width="15.625" customWidth="1"/>
    <col min="2955" max="2955" width="32.125" bestFit="1" customWidth="1"/>
    <col min="2956" max="2956" width="22.625" bestFit="1" customWidth="1"/>
    <col min="2957" max="2957" width="24.875" bestFit="1" customWidth="1"/>
    <col min="2958" max="2958" width="25.625" customWidth="1"/>
    <col min="2959" max="2959" width="31.375" bestFit="1" customWidth="1"/>
    <col min="2960" max="2960" width="24.625" customWidth="1"/>
    <col min="2961" max="2961" width="31.625" bestFit="1" customWidth="1"/>
    <col min="2962" max="2962" width="51.625" bestFit="1" customWidth="1"/>
    <col min="2963" max="2963" width="57.375" bestFit="1" customWidth="1"/>
    <col min="2964" max="2964" width="57.125" bestFit="1" customWidth="1"/>
    <col min="2965" max="2965" width="62.875" bestFit="1" customWidth="1"/>
    <col min="2966" max="2966" width="32.125" bestFit="1" customWidth="1"/>
    <col min="3072" max="3072" width="16.875" bestFit="1" customWidth="1"/>
    <col min="3073" max="3073" width="13.125" bestFit="1" customWidth="1"/>
    <col min="3074" max="3074" width="16.875" bestFit="1" customWidth="1"/>
    <col min="3075" max="3075" width="13.875" bestFit="1" customWidth="1"/>
    <col min="3076" max="3076" width="18.875" bestFit="1" customWidth="1"/>
    <col min="3077" max="3077" width="10.375" bestFit="1" customWidth="1"/>
    <col min="3078" max="3079" width="18.875" bestFit="1" customWidth="1"/>
    <col min="3080" max="3080" width="13.375" customWidth="1"/>
    <col min="3081" max="3082" width="18.875" bestFit="1" customWidth="1"/>
    <col min="3083" max="3083" width="15.125" bestFit="1" customWidth="1"/>
    <col min="3084" max="3084" width="15.375" bestFit="1" customWidth="1"/>
    <col min="3085" max="3085" width="16.625" customWidth="1"/>
    <col min="3086" max="3086" width="13.375" customWidth="1"/>
    <col min="3087" max="3087" width="16.875" bestFit="1" customWidth="1"/>
    <col min="3088" max="3088" width="14.875" bestFit="1" customWidth="1"/>
    <col min="3089" max="3089" width="20.625" bestFit="1" customWidth="1"/>
    <col min="3090" max="3090" width="18.375" bestFit="1" customWidth="1"/>
    <col min="3091" max="3091" width="13.375" bestFit="1" customWidth="1"/>
    <col min="3092" max="3092" width="36.375" customWidth="1"/>
    <col min="3093" max="3093" width="36.375" bestFit="1" customWidth="1"/>
    <col min="3094" max="3094" width="24.625" customWidth="1"/>
    <col min="3095" max="3095" width="36.375" bestFit="1" customWidth="1"/>
    <col min="3096" max="3096" width="21.625" bestFit="1" customWidth="1"/>
    <col min="3097" max="3097" width="21.875" bestFit="1" customWidth="1"/>
    <col min="3098" max="3098" width="21.625" bestFit="1" customWidth="1"/>
    <col min="3099" max="3099" width="13.875" bestFit="1" customWidth="1"/>
    <col min="3100" max="3100" width="10.375" bestFit="1" customWidth="1"/>
    <col min="3101" max="3101" width="18.875" bestFit="1" customWidth="1"/>
    <col min="3102" max="3102" width="10.375" bestFit="1" customWidth="1"/>
    <col min="3103" max="3103" width="98.875" bestFit="1" customWidth="1"/>
    <col min="3104" max="3104" width="17.625" bestFit="1" customWidth="1"/>
    <col min="3105" max="3105" width="26.625" bestFit="1" customWidth="1"/>
    <col min="3106" max="3106" width="23.375" bestFit="1" customWidth="1"/>
    <col min="3107" max="3107" width="15.375" bestFit="1" customWidth="1"/>
    <col min="3108" max="3108" width="202.625" customWidth="1"/>
    <col min="3109" max="3109" width="46.625" bestFit="1" customWidth="1"/>
    <col min="3110" max="3110" width="26.125" bestFit="1" customWidth="1"/>
    <col min="3111" max="3111" width="18.875" bestFit="1" customWidth="1"/>
    <col min="3112" max="3112" width="42.125" bestFit="1" customWidth="1"/>
    <col min="3113" max="3114" width="18.875" bestFit="1" customWidth="1"/>
    <col min="3115" max="3115" width="22.375" bestFit="1" customWidth="1"/>
    <col min="3116" max="3116" width="17.625" bestFit="1" customWidth="1"/>
    <col min="3117" max="3117" width="17.375" bestFit="1" customWidth="1"/>
    <col min="3118" max="3118" width="15.125" bestFit="1" customWidth="1"/>
    <col min="3119" max="3119" width="27.875" bestFit="1" customWidth="1"/>
    <col min="3120" max="3120" width="31.375" bestFit="1" customWidth="1"/>
    <col min="3121" max="3121" width="14.125" bestFit="1" customWidth="1"/>
    <col min="3122" max="3122" width="10.625" customWidth="1"/>
    <col min="3123" max="3124" width="20.625" customWidth="1"/>
    <col min="3125" max="3125" width="19.375" bestFit="1" customWidth="1"/>
    <col min="3126" max="3126" width="21.875" bestFit="1" customWidth="1"/>
    <col min="3127" max="3127" width="25.625" customWidth="1"/>
    <col min="3128" max="3128" width="25.875" bestFit="1" customWidth="1"/>
    <col min="3129" max="3129" width="19.625" customWidth="1"/>
    <col min="3130" max="3130" width="35.125" bestFit="1" customWidth="1"/>
    <col min="3131" max="3131" width="27.125" bestFit="1" customWidth="1"/>
    <col min="3132" max="3132" width="36.125" bestFit="1" customWidth="1"/>
    <col min="3133" max="3133" width="27.875" bestFit="1" customWidth="1"/>
    <col min="3134" max="3134" width="19.375" bestFit="1" customWidth="1"/>
    <col min="3135" max="3135" width="17.625" bestFit="1" customWidth="1"/>
    <col min="3136" max="3136" width="30.125" bestFit="1" customWidth="1"/>
    <col min="3137" max="3137" width="25.625" customWidth="1"/>
    <col min="3138" max="3138" width="23.125" bestFit="1" customWidth="1"/>
    <col min="3139" max="3139" width="25.625" customWidth="1"/>
    <col min="3140" max="3140" width="23.125" bestFit="1" customWidth="1"/>
    <col min="3141" max="3141" width="19.625" bestFit="1" customWidth="1"/>
    <col min="3142" max="3142" width="23.125" bestFit="1" customWidth="1"/>
    <col min="3143" max="3143" width="24.625" customWidth="1"/>
    <col min="3144" max="3144" width="23.125" bestFit="1" customWidth="1"/>
    <col min="3145" max="3145" width="19.625" bestFit="1" customWidth="1"/>
    <col min="3146" max="3146" width="17.625" bestFit="1" customWidth="1"/>
    <col min="3147" max="3148" width="21.875" bestFit="1" customWidth="1"/>
    <col min="3149" max="3149" width="25.625" customWidth="1"/>
    <col min="3150" max="3150" width="23.125" bestFit="1" customWidth="1"/>
    <col min="3151" max="3151" width="25.625" customWidth="1"/>
    <col min="3152" max="3152" width="23.125" bestFit="1" customWidth="1"/>
    <col min="3153" max="3153" width="19.625" bestFit="1" customWidth="1"/>
    <col min="3154" max="3154" width="23.125" bestFit="1" customWidth="1"/>
    <col min="3155" max="3155" width="24.625" customWidth="1"/>
    <col min="3156" max="3156" width="23.125" bestFit="1" customWidth="1"/>
    <col min="3157" max="3157" width="19.625" bestFit="1" customWidth="1"/>
    <col min="3158" max="3158" width="27.375" bestFit="1" customWidth="1"/>
    <col min="3159" max="3159" width="25.625" customWidth="1"/>
    <col min="3160" max="3160" width="27.375" bestFit="1" customWidth="1"/>
    <col min="3161" max="3161" width="23.875" bestFit="1" customWidth="1"/>
    <col min="3162" max="3162" width="27.375" bestFit="1" customWidth="1"/>
    <col min="3163" max="3163" width="24.625" customWidth="1"/>
    <col min="3164" max="3164" width="27.375" bestFit="1" customWidth="1"/>
    <col min="3165" max="3165" width="23.875" bestFit="1" customWidth="1"/>
    <col min="3166" max="3166" width="17.625" customWidth="1"/>
    <col min="3167" max="3167" width="18.125" customWidth="1"/>
    <col min="3168" max="3169" width="29.125" bestFit="1" customWidth="1"/>
    <col min="3170" max="3170" width="33.375" bestFit="1" customWidth="1"/>
    <col min="3171" max="3171" width="32.375" bestFit="1" customWidth="1"/>
    <col min="3172" max="3173" width="28.875" bestFit="1" customWidth="1"/>
    <col min="3174" max="3174" width="33.125" bestFit="1" customWidth="1"/>
    <col min="3175" max="3175" width="29.125" bestFit="1" customWidth="1"/>
    <col min="3176" max="3177" width="25.375" bestFit="1" customWidth="1"/>
    <col min="3178" max="3178" width="29.875" customWidth="1"/>
    <col min="3179" max="3179" width="16.375" bestFit="1" customWidth="1"/>
    <col min="3180" max="3180" width="19.375" bestFit="1" customWidth="1"/>
    <col min="3181" max="3181" width="27.625" bestFit="1" customWidth="1"/>
    <col min="3182" max="3182" width="10.375" bestFit="1" customWidth="1"/>
    <col min="3183" max="3183" width="18.875" bestFit="1" customWidth="1"/>
    <col min="3184" max="3184" width="24.625" customWidth="1"/>
    <col min="3185" max="3185" width="17.625" bestFit="1" customWidth="1"/>
    <col min="3186" max="3186" width="24.875" bestFit="1" customWidth="1"/>
    <col min="3187" max="3187" width="21.875" bestFit="1" customWidth="1"/>
    <col min="3188" max="3188" width="12.125" bestFit="1" customWidth="1"/>
    <col min="3189" max="3189" width="17.375" bestFit="1" customWidth="1"/>
    <col min="3190" max="3190" width="13.375" bestFit="1" customWidth="1"/>
    <col min="3191" max="3191" width="17.375" bestFit="1" customWidth="1"/>
    <col min="3192" max="3199" width="8.625" bestFit="1" customWidth="1"/>
    <col min="3200" max="3200" width="10.125" bestFit="1" customWidth="1"/>
    <col min="3201" max="3204" width="8.625" bestFit="1" customWidth="1"/>
    <col min="3205" max="3205" width="5.625" bestFit="1" customWidth="1"/>
    <col min="3206" max="3206" width="17.375" bestFit="1" customWidth="1"/>
    <col min="3207" max="3207" width="21.875" bestFit="1" customWidth="1"/>
    <col min="3208" max="3208" width="57.375" bestFit="1" customWidth="1"/>
    <col min="3209" max="3209" width="25.375" bestFit="1" customWidth="1"/>
    <col min="3210" max="3210" width="15.625" customWidth="1"/>
    <col min="3211" max="3211" width="32.125" bestFit="1" customWidth="1"/>
    <col min="3212" max="3212" width="22.625" bestFit="1" customWidth="1"/>
    <col min="3213" max="3213" width="24.875" bestFit="1" customWidth="1"/>
    <col min="3214" max="3214" width="25.625" customWidth="1"/>
    <col min="3215" max="3215" width="31.375" bestFit="1" customWidth="1"/>
    <col min="3216" max="3216" width="24.625" customWidth="1"/>
    <col min="3217" max="3217" width="31.625" bestFit="1" customWidth="1"/>
    <col min="3218" max="3218" width="51.625" bestFit="1" customWidth="1"/>
    <col min="3219" max="3219" width="57.375" bestFit="1" customWidth="1"/>
    <col min="3220" max="3220" width="57.125" bestFit="1" customWidth="1"/>
    <col min="3221" max="3221" width="62.875" bestFit="1" customWidth="1"/>
    <col min="3222" max="3222" width="32.125" bestFit="1" customWidth="1"/>
    <col min="3328" max="3328" width="16.875" bestFit="1" customWidth="1"/>
    <col min="3329" max="3329" width="13.125" bestFit="1" customWidth="1"/>
    <col min="3330" max="3330" width="16.875" bestFit="1" customWidth="1"/>
    <col min="3331" max="3331" width="13.875" bestFit="1" customWidth="1"/>
    <col min="3332" max="3332" width="18.875" bestFit="1" customWidth="1"/>
    <col min="3333" max="3333" width="10.375" bestFit="1" customWidth="1"/>
    <col min="3334" max="3335" width="18.875" bestFit="1" customWidth="1"/>
    <col min="3336" max="3336" width="13.375" customWidth="1"/>
    <col min="3337" max="3338" width="18.875" bestFit="1" customWidth="1"/>
    <col min="3339" max="3339" width="15.125" bestFit="1" customWidth="1"/>
    <col min="3340" max="3340" width="15.375" bestFit="1" customWidth="1"/>
    <col min="3341" max="3341" width="16.625" customWidth="1"/>
    <col min="3342" max="3342" width="13.375" customWidth="1"/>
    <col min="3343" max="3343" width="16.875" bestFit="1" customWidth="1"/>
    <col min="3344" max="3344" width="14.875" bestFit="1" customWidth="1"/>
    <col min="3345" max="3345" width="20.625" bestFit="1" customWidth="1"/>
    <col min="3346" max="3346" width="18.375" bestFit="1" customWidth="1"/>
    <col min="3347" max="3347" width="13.375" bestFit="1" customWidth="1"/>
    <col min="3348" max="3348" width="36.375" customWidth="1"/>
    <col min="3349" max="3349" width="36.375" bestFit="1" customWidth="1"/>
    <col min="3350" max="3350" width="24.625" customWidth="1"/>
    <col min="3351" max="3351" width="36.375" bestFit="1" customWidth="1"/>
    <col min="3352" max="3352" width="21.625" bestFit="1" customWidth="1"/>
    <col min="3353" max="3353" width="21.875" bestFit="1" customWidth="1"/>
    <col min="3354" max="3354" width="21.625" bestFit="1" customWidth="1"/>
    <col min="3355" max="3355" width="13.875" bestFit="1" customWidth="1"/>
    <col min="3356" max="3356" width="10.375" bestFit="1" customWidth="1"/>
    <col min="3357" max="3357" width="18.875" bestFit="1" customWidth="1"/>
    <col min="3358" max="3358" width="10.375" bestFit="1" customWidth="1"/>
    <col min="3359" max="3359" width="98.875" bestFit="1" customWidth="1"/>
    <col min="3360" max="3360" width="17.625" bestFit="1" customWidth="1"/>
    <col min="3361" max="3361" width="26.625" bestFit="1" customWidth="1"/>
    <col min="3362" max="3362" width="23.375" bestFit="1" customWidth="1"/>
    <col min="3363" max="3363" width="15.375" bestFit="1" customWidth="1"/>
    <col min="3364" max="3364" width="202.625" customWidth="1"/>
    <col min="3365" max="3365" width="46.625" bestFit="1" customWidth="1"/>
    <col min="3366" max="3366" width="26.125" bestFit="1" customWidth="1"/>
    <col min="3367" max="3367" width="18.875" bestFit="1" customWidth="1"/>
    <col min="3368" max="3368" width="42.125" bestFit="1" customWidth="1"/>
    <col min="3369" max="3370" width="18.875" bestFit="1" customWidth="1"/>
    <col min="3371" max="3371" width="22.375" bestFit="1" customWidth="1"/>
    <col min="3372" max="3372" width="17.625" bestFit="1" customWidth="1"/>
    <col min="3373" max="3373" width="17.375" bestFit="1" customWidth="1"/>
    <col min="3374" max="3374" width="15.125" bestFit="1" customWidth="1"/>
    <col min="3375" max="3375" width="27.875" bestFit="1" customWidth="1"/>
    <col min="3376" max="3376" width="31.375" bestFit="1" customWidth="1"/>
    <col min="3377" max="3377" width="14.125" bestFit="1" customWidth="1"/>
    <col min="3378" max="3378" width="10.625" customWidth="1"/>
    <col min="3379" max="3380" width="20.625" customWidth="1"/>
    <col min="3381" max="3381" width="19.375" bestFit="1" customWidth="1"/>
    <col min="3382" max="3382" width="21.875" bestFit="1" customWidth="1"/>
    <col min="3383" max="3383" width="25.625" customWidth="1"/>
    <col min="3384" max="3384" width="25.875" bestFit="1" customWidth="1"/>
    <col min="3385" max="3385" width="19.625" customWidth="1"/>
    <col min="3386" max="3386" width="35.125" bestFit="1" customWidth="1"/>
    <col min="3387" max="3387" width="27.125" bestFit="1" customWidth="1"/>
    <col min="3388" max="3388" width="36.125" bestFit="1" customWidth="1"/>
    <col min="3389" max="3389" width="27.875" bestFit="1" customWidth="1"/>
    <col min="3390" max="3390" width="19.375" bestFit="1" customWidth="1"/>
    <col min="3391" max="3391" width="17.625" bestFit="1" customWidth="1"/>
    <col min="3392" max="3392" width="30.125" bestFit="1" customWidth="1"/>
    <col min="3393" max="3393" width="25.625" customWidth="1"/>
    <col min="3394" max="3394" width="23.125" bestFit="1" customWidth="1"/>
    <col min="3395" max="3395" width="25.625" customWidth="1"/>
    <col min="3396" max="3396" width="23.125" bestFit="1" customWidth="1"/>
    <col min="3397" max="3397" width="19.625" bestFit="1" customWidth="1"/>
    <col min="3398" max="3398" width="23.125" bestFit="1" customWidth="1"/>
    <col min="3399" max="3399" width="24.625" customWidth="1"/>
    <col min="3400" max="3400" width="23.125" bestFit="1" customWidth="1"/>
    <col min="3401" max="3401" width="19.625" bestFit="1" customWidth="1"/>
    <col min="3402" max="3402" width="17.625" bestFit="1" customWidth="1"/>
    <col min="3403" max="3404" width="21.875" bestFit="1" customWidth="1"/>
    <col min="3405" max="3405" width="25.625" customWidth="1"/>
    <col min="3406" max="3406" width="23.125" bestFit="1" customWidth="1"/>
    <col min="3407" max="3407" width="25.625" customWidth="1"/>
    <col min="3408" max="3408" width="23.125" bestFit="1" customWidth="1"/>
    <col min="3409" max="3409" width="19.625" bestFit="1" customWidth="1"/>
    <col min="3410" max="3410" width="23.125" bestFit="1" customWidth="1"/>
    <col min="3411" max="3411" width="24.625" customWidth="1"/>
    <col min="3412" max="3412" width="23.125" bestFit="1" customWidth="1"/>
    <col min="3413" max="3413" width="19.625" bestFit="1" customWidth="1"/>
    <col min="3414" max="3414" width="27.375" bestFit="1" customWidth="1"/>
    <col min="3415" max="3415" width="25.625" customWidth="1"/>
    <col min="3416" max="3416" width="27.375" bestFit="1" customWidth="1"/>
    <col min="3417" max="3417" width="23.875" bestFit="1" customWidth="1"/>
    <col min="3418" max="3418" width="27.375" bestFit="1" customWidth="1"/>
    <col min="3419" max="3419" width="24.625" customWidth="1"/>
    <col min="3420" max="3420" width="27.375" bestFit="1" customWidth="1"/>
    <col min="3421" max="3421" width="23.875" bestFit="1" customWidth="1"/>
    <col min="3422" max="3422" width="17.625" customWidth="1"/>
    <col min="3423" max="3423" width="18.125" customWidth="1"/>
    <col min="3424" max="3425" width="29.125" bestFit="1" customWidth="1"/>
    <col min="3426" max="3426" width="33.375" bestFit="1" customWidth="1"/>
    <col min="3427" max="3427" width="32.375" bestFit="1" customWidth="1"/>
    <col min="3428" max="3429" width="28.875" bestFit="1" customWidth="1"/>
    <col min="3430" max="3430" width="33.125" bestFit="1" customWidth="1"/>
    <col min="3431" max="3431" width="29.125" bestFit="1" customWidth="1"/>
    <col min="3432" max="3433" width="25.375" bestFit="1" customWidth="1"/>
    <col min="3434" max="3434" width="29.875" customWidth="1"/>
    <col min="3435" max="3435" width="16.375" bestFit="1" customWidth="1"/>
    <col min="3436" max="3436" width="19.375" bestFit="1" customWidth="1"/>
    <col min="3437" max="3437" width="27.625" bestFit="1" customWidth="1"/>
    <col min="3438" max="3438" width="10.375" bestFit="1" customWidth="1"/>
    <col min="3439" max="3439" width="18.875" bestFit="1" customWidth="1"/>
    <col min="3440" max="3440" width="24.625" customWidth="1"/>
    <col min="3441" max="3441" width="17.625" bestFit="1" customWidth="1"/>
    <col min="3442" max="3442" width="24.875" bestFit="1" customWidth="1"/>
    <col min="3443" max="3443" width="21.875" bestFit="1" customWidth="1"/>
    <col min="3444" max="3444" width="12.125" bestFit="1" customWidth="1"/>
    <col min="3445" max="3445" width="17.375" bestFit="1" customWidth="1"/>
    <col min="3446" max="3446" width="13.375" bestFit="1" customWidth="1"/>
    <col min="3447" max="3447" width="17.375" bestFit="1" customWidth="1"/>
    <col min="3448" max="3455" width="8.625" bestFit="1" customWidth="1"/>
    <col min="3456" max="3456" width="10.125" bestFit="1" customWidth="1"/>
    <col min="3457" max="3460" width="8.625" bestFit="1" customWidth="1"/>
    <col min="3461" max="3461" width="5.625" bestFit="1" customWidth="1"/>
    <col min="3462" max="3462" width="17.375" bestFit="1" customWidth="1"/>
    <col min="3463" max="3463" width="21.875" bestFit="1" customWidth="1"/>
    <col min="3464" max="3464" width="57.375" bestFit="1" customWidth="1"/>
    <col min="3465" max="3465" width="25.375" bestFit="1" customWidth="1"/>
    <col min="3466" max="3466" width="15.625" customWidth="1"/>
    <col min="3467" max="3467" width="32.125" bestFit="1" customWidth="1"/>
    <col min="3468" max="3468" width="22.625" bestFit="1" customWidth="1"/>
    <col min="3469" max="3469" width="24.875" bestFit="1" customWidth="1"/>
    <col min="3470" max="3470" width="25.625" customWidth="1"/>
    <col min="3471" max="3471" width="31.375" bestFit="1" customWidth="1"/>
    <col min="3472" max="3472" width="24.625" customWidth="1"/>
    <col min="3473" max="3473" width="31.625" bestFit="1" customWidth="1"/>
    <col min="3474" max="3474" width="51.625" bestFit="1" customWidth="1"/>
    <col min="3475" max="3475" width="57.375" bestFit="1" customWidth="1"/>
    <col min="3476" max="3476" width="57.125" bestFit="1" customWidth="1"/>
    <col min="3477" max="3477" width="62.875" bestFit="1" customWidth="1"/>
    <col min="3478" max="3478" width="32.125" bestFit="1" customWidth="1"/>
    <col min="3584" max="3584" width="16.875" bestFit="1" customWidth="1"/>
    <col min="3585" max="3585" width="13.125" bestFit="1" customWidth="1"/>
    <col min="3586" max="3586" width="16.875" bestFit="1" customWidth="1"/>
    <col min="3587" max="3587" width="13.875" bestFit="1" customWidth="1"/>
    <col min="3588" max="3588" width="18.875" bestFit="1" customWidth="1"/>
    <col min="3589" max="3589" width="10.375" bestFit="1" customWidth="1"/>
    <col min="3590" max="3591" width="18.875" bestFit="1" customWidth="1"/>
    <col min="3592" max="3592" width="13.375" customWidth="1"/>
    <col min="3593" max="3594" width="18.875" bestFit="1" customWidth="1"/>
    <col min="3595" max="3595" width="15.125" bestFit="1" customWidth="1"/>
    <col min="3596" max="3596" width="15.375" bestFit="1" customWidth="1"/>
    <col min="3597" max="3597" width="16.625" customWidth="1"/>
    <col min="3598" max="3598" width="13.375" customWidth="1"/>
    <col min="3599" max="3599" width="16.875" bestFit="1" customWidth="1"/>
    <col min="3600" max="3600" width="14.875" bestFit="1" customWidth="1"/>
    <col min="3601" max="3601" width="20.625" bestFit="1" customWidth="1"/>
    <col min="3602" max="3602" width="18.375" bestFit="1" customWidth="1"/>
    <col min="3603" max="3603" width="13.375" bestFit="1" customWidth="1"/>
    <col min="3604" max="3604" width="36.375" customWidth="1"/>
    <col min="3605" max="3605" width="36.375" bestFit="1" customWidth="1"/>
    <col min="3606" max="3606" width="24.625" customWidth="1"/>
    <col min="3607" max="3607" width="36.375" bestFit="1" customWidth="1"/>
    <col min="3608" max="3608" width="21.625" bestFit="1" customWidth="1"/>
    <col min="3609" max="3609" width="21.875" bestFit="1" customWidth="1"/>
    <col min="3610" max="3610" width="21.625" bestFit="1" customWidth="1"/>
    <col min="3611" max="3611" width="13.875" bestFit="1" customWidth="1"/>
    <col min="3612" max="3612" width="10.375" bestFit="1" customWidth="1"/>
    <col min="3613" max="3613" width="18.875" bestFit="1" customWidth="1"/>
    <col min="3614" max="3614" width="10.375" bestFit="1" customWidth="1"/>
    <col min="3615" max="3615" width="98.875" bestFit="1" customWidth="1"/>
    <col min="3616" max="3616" width="17.625" bestFit="1" customWidth="1"/>
    <col min="3617" max="3617" width="26.625" bestFit="1" customWidth="1"/>
    <col min="3618" max="3618" width="23.375" bestFit="1" customWidth="1"/>
    <col min="3619" max="3619" width="15.375" bestFit="1" customWidth="1"/>
    <col min="3620" max="3620" width="202.625" customWidth="1"/>
    <col min="3621" max="3621" width="46.625" bestFit="1" customWidth="1"/>
    <col min="3622" max="3622" width="26.125" bestFit="1" customWidth="1"/>
    <col min="3623" max="3623" width="18.875" bestFit="1" customWidth="1"/>
    <col min="3624" max="3624" width="42.125" bestFit="1" customWidth="1"/>
    <col min="3625" max="3626" width="18.875" bestFit="1" customWidth="1"/>
    <col min="3627" max="3627" width="22.375" bestFit="1" customWidth="1"/>
    <col min="3628" max="3628" width="17.625" bestFit="1" customWidth="1"/>
    <col min="3629" max="3629" width="17.375" bestFit="1" customWidth="1"/>
    <col min="3630" max="3630" width="15.125" bestFit="1" customWidth="1"/>
    <col min="3631" max="3631" width="27.875" bestFit="1" customWidth="1"/>
    <col min="3632" max="3632" width="31.375" bestFit="1" customWidth="1"/>
    <col min="3633" max="3633" width="14.125" bestFit="1" customWidth="1"/>
    <col min="3634" max="3634" width="10.625" customWidth="1"/>
    <col min="3635" max="3636" width="20.625" customWidth="1"/>
    <col min="3637" max="3637" width="19.375" bestFit="1" customWidth="1"/>
    <col min="3638" max="3638" width="21.875" bestFit="1" customWidth="1"/>
    <col min="3639" max="3639" width="25.625" customWidth="1"/>
    <col min="3640" max="3640" width="25.875" bestFit="1" customWidth="1"/>
    <col min="3641" max="3641" width="19.625" customWidth="1"/>
    <col min="3642" max="3642" width="35.125" bestFit="1" customWidth="1"/>
    <col min="3643" max="3643" width="27.125" bestFit="1" customWidth="1"/>
    <col min="3644" max="3644" width="36.125" bestFit="1" customWidth="1"/>
    <col min="3645" max="3645" width="27.875" bestFit="1" customWidth="1"/>
    <col min="3646" max="3646" width="19.375" bestFit="1" customWidth="1"/>
    <col min="3647" max="3647" width="17.625" bestFit="1" customWidth="1"/>
    <col min="3648" max="3648" width="30.125" bestFit="1" customWidth="1"/>
    <col min="3649" max="3649" width="25.625" customWidth="1"/>
    <col min="3650" max="3650" width="23.125" bestFit="1" customWidth="1"/>
    <col min="3651" max="3651" width="25.625" customWidth="1"/>
    <col min="3652" max="3652" width="23.125" bestFit="1" customWidth="1"/>
    <col min="3653" max="3653" width="19.625" bestFit="1" customWidth="1"/>
    <col min="3654" max="3654" width="23.125" bestFit="1" customWidth="1"/>
    <col min="3655" max="3655" width="24.625" customWidth="1"/>
    <col min="3656" max="3656" width="23.125" bestFit="1" customWidth="1"/>
    <col min="3657" max="3657" width="19.625" bestFit="1" customWidth="1"/>
    <col min="3658" max="3658" width="17.625" bestFit="1" customWidth="1"/>
    <col min="3659" max="3660" width="21.875" bestFit="1" customWidth="1"/>
    <col min="3661" max="3661" width="25.625" customWidth="1"/>
    <col min="3662" max="3662" width="23.125" bestFit="1" customWidth="1"/>
    <col min="3663" max="3663" width="25.625" customWidth="1"/>
    <col min="3664" max="3664" width="23.125" bestFit="1" customWidth="1"/>
    <col min="3665" max="3665" width="19.625" bestFit="1" customWidth="1"/>
    <col min="3666" max="3666" width="23.125" bestFit="1" customWidth="1"/>
    <col min="3667" max="3667" width="24.625" customWidth="1"/>
    <col min="3668" max="3668" width="23.125" bestFit="1" customWidth="1"/>
    <col min="3669" max="3669" width="19.625" bestFit="1" customWidth="1"/>
    <col min="3670" max="3670" width="27.375" bestFit="1" customWidth="1"/>
    <col min="3671" max="3671" width="25.625" customWidth="1"/>
    <col min="3672" max="3672" width="27.375" bestFit="1" customWidth="1"/>
    <col min="3673" max="3673" width="23.875" bestFit="1" customWidth="1"/>
    <col min="3674" max="3674" width="27.375" bestFit="1" customWidth="1"/>
    <col min="3675" max="3675" width="24.625" customWidth="1"/>
    <col min="3676" max="3676" width="27.375" bestFit="1" customWidth="1"/>
    <col min="3677" max="3677" width="23.875" bestFit="1" customWidth="1"/>
    <col min="3678" max="3678" width="17.625" customWidth="1"/>
    <col min="3679" max="3679" width="18.125" customWidth="1"/>
    <col min="3680" max="3681" width="29.125" bestFit="1" customWidth="1"/>
    <col min="3682" max="3682" width="33.375" bestFit="1" customWidth="1"/>
    <col min="3683" max="3683" width="32.375" bestFit="1" customWidth="1"/>
    <col min="3684" max="3685" width="28.875" bestFit="1" customWidth="1"/>
    <col min="3686" max="3686" width="33.125" bestFit="1" customWidth="1"/>
    <col min="3687" max="3687" width="29.125" bestFit="1" customWidth="1"/>
    <col min="3688" max="3689" width="25.375" bestFit="1" customWidth="1"/>
    <col min="3690" max="3690" width="29.875" customWidth="1"/>
    <col min="3691" max="3691" width="16.375" bestFit="1" customWidth="1"/>
    <col min="3692" max="3692" width="19.375" bestFit="1" customWidth="1"/>
    <col min="3693" max="3693" width="27.625" bestFit="1" customWidth="1"/>
    <col min="3694" max="3694" width="10.375" bestFit="1" customWidth="1"/>
    <col min="3695" max="3695" width="18.875" bestFit="1" customWidth="1"/>
    <col min="3696" max="3696" width="24.625" customWidth="1"/>
    <col min="3697" max="3697" width="17.625" bestFit="1" customWidth="1"/>
    <col min="3698" max="3698" width="24.875" bestFit="1" customWidth="1"/>
    <col min="3699" max="3699" width="21.875" bestFit="1" customWidth="1"/>
    <col min="3700" max="3700" width="12.125" bestFit="1" customWidth="1"/>
    <col min="3701" max="3701" width="17.375" bestFit="1" customWidth="1"/>
    <col min="3702" max="3702" width="13.375" bestFit="1" customWidth="1"/>
    <col min="3703" max="3703" width="17.375" bestFit="1" customWidth="1"/>
    <col min="3704" max="3711" width="8.625" bestFit="1" customWidth="1"/>
    <col min="3712" max="3712" width="10.125" bestFit="1" customWidth="1"/>
    <col min="3713" max="3716" width="8.625" bestFit="1" customWidth="1"/>
    <col min="3717" max="3717" width="5.625" bestFit="1" customWidth="1"/>
    <col min="3718" max="3718" width="17.375" bestFit="1" customWidth="1"/>
    <col min="3719" max="3719" width="21.875" bestFit="1" customWidth="1"/>
    <col min="3720" max="3720" width="57.375" bestFit="1" customWidth="1"/>
    <col min="3721" max="3721" width="25.375" bestFit="1" customWidth="1"/>
    <col min="3722" max="3722" width="15.625" customWidth="1"/>
    <col min="3723" max="3723" width="32.125" bestFit="1" customWidth="1"/>
    <col min="3724" max="3724" width="22.625" bestFit="1" customWidth="1"/>
    <col min="3725" max="3725" width="24.875" bestFit="1" customWidth="1"/>
    <col min="3726" max="3726" width="25.625" customWidth="1"/>
    <col min="3727" max="3727" width="31.375" bestFit="1" customWidth="1"/>
    <col min="3728" max="3728" width="24.625" customWidth="1"/>
    <col min="3729" max="3729" width="31.625" bestFit="1" customWidth="1"/>
    <col min="3730" max="3730" width="51.625" bestFit="1" customWidth="1"/>
    <col min="3731" max="3731" width="57.375" bestFit="1" customWidth="1"/>
    <col min="3732" max="3732" width="57.125" bestFit="1" customWidth="1"/>
    <col min="3733" max="3733" width="62.875" bestFit="1" customWidth="1"/>
    <col min="3734" max="3734" width="32.125" bestFit="1" customWidth="1"/>
    <col min="3840" max="3840" width="16.875" bestFit="1" customWidth="1"/>
    <col min="3841" max="3841" width="13.125" bestFit="1" customWidth="1"/>
    <col min="3842" max="3842" width="16.875" bestFit="1" customWidth="1"/>
    <col min="3843" max="3843" width="13.875" bestFit="1" customWidth="1"/>
    <col min="3844" max="3844" width="18.875" bestFit="1" customWidth="1"/>
    <col min="3845" max="3845" width="10.375" bestFit="1" customWidth="1"/>
    <col min="3846" max="3847" width="18.875" bestFit="1" customWidth="1"/>
    <col min="3848" max="3848" width="13.375" customWidth="1"/>
    <col min="3849" max="3850" width="18.875" bestFit="1" customWidth="1"/>
    <col min="3851" max="3851" width="15.125" bestFit="1" customWidth="1"/>
    <col min="3852" max="3852" width="15.375" bestFit="1" customWidth="1"/>
    <col min="3853" max="3853" width="16.625" customWidth="1"/>
    <col min="3854" max="3854" width="13.375" customWidth="1"/>
    <col min="3855" max="3855" width="16.875" bestFit="1" customWidth="1"/>
    <col min="3856" max="3856" width="14.875" bestFit="1" customWidth="1"/>
    <col min="3857" max="3857" width="20.625" bestFit="1" customWidth="1"/>
    <col min="3858" max="3858" width="18.375" bestFit="1" customWidth="1"/>
    <col min="3859" max="3859" width="13.375" bestFit="1" customWidth="1"/>
    <col min="3860" max="3860" width="36.375" customWidth="1"/>
    <col min="3861" max="3861" width="36.375" bestFit="1" customWidth="1"/>
    <col min="3862" max="3862" width="24.625" customWidth="1"/>
    <col min="3863" max="3863" width="36.375" bestFit="1" customWidth="1"/>
    <col min="3864" max="3864" width="21.625" bestFit="1" customWidth="1"/>
    <col min="3865" max="3865" width="21.875" bestFit="1" customWidth="1"/>
    <col min="3866" max="3866" width="21.625" bestFit="1" customWidth="1"/>
    <col min="3867" max="3867" width="13.875" bestFit="1" customWidth="1"/>
    <col min="3868" max="3868" width="10.375" bestFit="1" customWidth="1"/>
    <col min="3869" max="3869" width="18.875" bestFit="1" customWidth="1"/>
    <col min="3870" max="3870" width="10.375" bestFit="1" customWidth="1"/>
    <col min="3871" max="3871" width="98.875" bestFit="1" customWidth="1"/>
    <col min="3872" max="3872" width="17.625" bestFit="1" customWidth="1"/>
    <col min="3873" max="3873" width="26.625" bestFit="1" customWidth="1"/>
    <col min="3874" max="3874" width="23.375" bestFit="1" customWidth="1"/>
    <col min="3875" max="3875" width="15.375" bestFit="1" customWidth="1"/>
    <col min="3876" max="3876" width="202.625" customWidth="1"/>
    <col min="3877" max="3877" width="46.625" bestFit="1" customWidth="1"/>
    <col min="3878" max="3878" width="26.125" bestFit="1" customWidth="1"/>
    <col min="3879" max="3879" width="18.875" bestFit="1" customWidth="1"/>
    <col min="3880" max="3880" width="42.125" bestFit="1" customWidth="1"/>
    <col min="3881" max="3882" width="18.875" bestFit="1" customWidth="1"/>
    <col min="3883" max="3883" width="22.375" bestFit="1" customWidth="1"/>
    <col min="3884" max="3884" width="17.625" bestFit="1" customWidth="1"/>
    <col min="3885" max="3885" width="17.375" bestFit="1" customWidth="1"/>
    <col min="3886" max="3886" width="15.125" bestFit="1" customWidth="1"/>
    <col min="3887" max="3887" width="27.875" bestFit="1" customWidth="1"/>
    <col min="3888" max="3888" width="31.375" bestFit="1" customWidth="1"/>
    <col min="3889" max="3889" width="14.125" bestFit="1" customWidth="1"/>
    <col min="3890" max="3890" width="10.625" customWidth="1"/>
    <col min="3891" max="3892" width="20.625" customWidth="1"/>
    <col min="3893" max="3893" width="19.375" bestFit="1" customWidth="1"/>
    <col min="3894" max="3894" width="21.875" bestFit="1" customWidth="1"/>
    <col min="3895" max="3895" width="25.625" customWidth="1"/>
    <col min="3896" max="3896" width="25.875" bestFit="1" customWidth="1"/>
    <col min="3897" max="3897" width="19.625" customWidth="1"/>
    <col min="3898" max="3898" width="35.125" bestFit="1" customWidth="1"/>
    <col min="3899" max="3899" width="27.125" bestFit="1" customWidth="1"/>
    <col min="3900" max="3900" width="36.125" bestFit="1" customWidth="1"/>
    <col min="3901" max="3901" width="27.875" bestFit="1" customWidth="1"/>
    <col min="3902" max="3902" width="19.375" bestFit="1" customWidth="1"/>
    <col min="3903" max="3903" width="17.625" bestFit="1" customWidth="1"/>
    <col min="3904" max="3904" width="30.125" bestFit="1" customWidth="1"/>
    <col min="3905" max="3905" width="25.625" customWidth="1"/>
    <col min="3906" max="3906" width="23.125" bestFit="1" customWidth="1"/>
    <col min="3907" max="3907" width="25.625" customWidth="1"/>
    <col min="3908" max="3908" width="23.125" bestFit="1" customWidth="1"/>
    <col min="3909" max="3909" width="19.625" bestFit="1" customWidth="1"/>
    <col min="3910" max="3910" width="23.125" bestFit="1" customWidth="1"/>
    <col min="3911" max="3911" width="24.625" customWidth="1"/>
    <col min="3912" max="3912" width="23.125" bestFit="1" customWidth="1"/>
    <col min="3913" max="3913" width="19.625" bestFit="1" customWidth="1"/>
    <col min="3914" max="3914" width="17.625" bestFit="1" customWidth="1"/>
    <col min="3915" max="3916" width="21.875" bestFit="1" customWidth="1"/>
    <col min="3917" max="3917" width="25.625" customWidth="1"/>
    <col min="3918" max="3918" width="23.125" bestFit="1" customWidth="1"/>
    <col min="3919" max="3919" width="25.625" customWidth="1"/>
    <col min="3920" max="3920" width="23.125" bestFit="1" customWidth="1"/>
    <col min="3921" max="3921" width="19.625" bestFit="1" customWidth="1"/>
    <col min="3922" max="3922" width="23.125" bestFit="1" customWidth="1"/>
    <col min="3923" max="3923" width="24.625" customWidth="1"/>
    <col min="3924" max="3924" width="23.125" bestFit="1" customWidth="1"/>
    <col min="3925" max="3925" width="19.625" bestFit="1" customWidth="1"/>
    <col min="3926" max="3926" width="27.375" bestFit="1" customWidth="1"/>
    <col min="3927" max="3927" width="25.625" customWidth="1"/>
    <col min="3928" max="3928" width="27.375" bestFit="1" customWidth="1"/>
    <col min="3929" max="3929" width="23.875" bestFit="1" customWidth="1"/>
    <col min="3930" max="3930" width="27.375" bestFit="1" customWidth="1"/>
    <col min="3931" max="3931" width="24.625" customWidth="1"/>
    <col min="3932" max="3932" width="27.375" bestFit="1" customWidth="1"/>
    <col min="3933" max="3933" width="23.875" bestFit="1" customWidth="1"/>
    <col min="3934" max="3934" width="17.625" customWidth="1"/>
    <col min="3935" max="3935" width="18.125" customWidth="1"/>
    <col min="3936" max="3937" width="29.125" bestFit="1" customWidth="1"/>
    <col min="3938" max="3938" width="33.375" bestFit="1" customWidth="1"/>
    <col min="3939" max="3939" width="32.375" bestFit="1" customWidth="1"/>
    <col min="3940" max="3941" width="28.875" bestFit="1" customWidth="1"/>
    <col min="3942" max="3942" width="33.125" bestFit="1" customWidth="1"/>
    <col min="3943" max="3943" width="29.125" bestFit="1" customWidth="1"/>
    <col min="3944" max="3945" width="25.375" bestFit="1" customWidth="1"/>
    <col min="3946" max="3946" width="29.875" customWidth="1"/>
    <col min="3947" max="3947" width="16.375" bestFit="1" customWidth="1"/>
    <col min="3948" max="3948" width="19.375" bestFit="1" customWidth="1"/>
    <col min="3949" max="3949" width="27.625" bestFit="1" customWidth="1"/>
    <col min="3950" max="3950" width="10.375" bestFit="1" customWidth="1"/>
    <col min="3951" max="3951" width="18.875" bestFit="1" customWidth="1"/>
    <col min="3952" max="3952" width="24.625" customWidth="1"/>
    <col min="3953" max="3953" width="17.625" bestFit="1" customWidth="1"/>
    <col min="3954" max="3954" width="24.875" bestFit="1" customWidth="1"/>
    <col min="3955" max="3955" width="21.875" bestFit="1" customWidth="1"/>
    <col min="3956" max="3956" width="12.125" bestFit="1" customWidth="1"/>
    <col min="3957" max="3957" width="17.375" bestFit="1" customWidth="1"/>
    <col min="3958" max="3958" width="13.375" bestFit="1" customWidth="1"/>
    <col min="3959" max="3959" width="17.375" bestFit="1" customWidth="1"/>
    <col min="3960" max="3967" width="8.625" bestFit="1" customWidth="1"/>
    <col min="3968" max="3968" width="10.125" bestFit="1" customWidth="1"/>
    <col min="3969" max="3972" width="8.625" bestFit="1" customWidth="1"/>
    <col min="3973" max="3973" width="5.625" bestFit="1" customWidth="1"/>
    <col min="3974" max="3974" width="17.375" bestFit="1" customWidth="1"/>
    <col min="3975" max="3975" width="21.875" bestFit="1" customWidth="1"/>
    <col min="3976" max="3976" width="57.375" bestFit="1" customWidth="1"/>
    <col min="3977" max="3977" width="25.375" bestFit="1" customWidth="1"/>
    <col min="3978" max="3978" width="15.625" customWidth="1"/>
    <col min="3979" max="3979" width="32.125" bestFit="1" customWidth="1"/>
    <col min="3980" max="3980" width="22.625" bestFit="1" customWidth="1"/>
    <col min="3981" max="3981" width="24.875" bestFit="1" customWidth="1"/>
    <col min="3982" max="3982" width="25.625" customWidth="1"/>
    <col min="3983" max="3983" width="31.375" bestFit="1" customWidth="1"/>
    <col min="3984" max="3984" width="24.625" customWidth="1"/>
    <col min="3985" max="3985" width="31.625" bestFit="1" customWidth="1"/>
    <col min="3986" max="3986" width="51.625" bestFit="1" customWidth="1"/>
    <col min="3987" max="3987" width="57.375" bestFit="1" customWidth="1"/>
    <col min="3988" max="3988" width="57.125" bestFit="1" customWidth="1"/>
    <col min="3989" max="3989" width="62.875" bestFit="1" customWidth="1"/>
    <col min="3990" max="3990" width="32.125" bestFit="1" customWidth="1"/>
    <col min="4096" max="4096" width="16.875" bestFit="1" customWidth="1"/>
    <col min="4097" max="4097" width="13.125" bestFit="1" customWidth="1"/>
    <col min="4098" max="4098" width="16.875" bestFit="1" customWidth="1"/>
    <col min="4099" max="4099" width="13.875" bestFit="1" customWidth="1"/>
    <col min="4100" max="4100" width="18.875" bestFit="1" customWidth="1"/>
    <col min="4101" max="4101" width="10.375" bestFit="1" customWidth="1"/>
    <col min="4102" max="4103" width="18.875" bestFit="1" customWidth="1"/>
    <col min="4104" max="4104" width="13.375" customWidth="1"/>
    <col min="4105" max="4106" width="18.875" bestFit="1" customWidth="1"/>
    <col min="4107" max="4107" width="15.125" bestFit="1" customWidth="1"/>
    <col min="4108" max="4108" width="15.375" bestFit="1" customWidth="1"/>
    <col min="4109" max="4109" width="16.625" customWidth="1"/>
    <col min="4110" max="4110" width="13.375" customWidth="1"/>
    <col min="4111" max="4111" width="16.875" bestFit="1" customWidth="1"/>
    <col min="4112" max="4112" width="14.875" bestFit="1" customWidth="1"/>
    <col min="4113" max="4113" width="20.625" bestFit="1" customWidth="1"/>
    <col min="4114" max="4114" width="18.375" bestFit="1" customWidth="1"/>
    <col min="4115" max="4115" width="13.375" bestFit="1" customWidth="1"/>
    <col min="4116" max="4116" width="36.375" customWidth="1"/>
    <col min="4117" max="4117" width="36.375" bestFit="1" customWidth="1"/>
    <col min="4118" max="4118" width="24.625" customWidth="1"/>
    <col min="4119" max="4119" width="36.375" bestFit="1" customWidth="1"/>
    <col min="4120" max="4120" width="21.625" bestFit="1" customWidth="1"/>
    <col min="4121" max="4121" width="21.875" bestFit="1" customWidth="1"/>
    <col min="4122" max="4122" width="21.625" bestFit="1" customWidth="1"/>
    <col min="4123" max="4123" width="13.875" bestFit="1" customWidth="1"/>
    <col min="4124" max="4124" width="10.375" bestFit="1" customWidth="1"/>
    <col min="4125" max="4125" width="18.875" bestFit="1" customWidth="1"/>
    <col min="4126" max="4126" width="10.375" bestFit="1" customWidth="1"/>
    <col min="4127" max="4127" width="98.875" bestFit="1" customWidth="1"/>
    <col min="4128" max="4128" width="17.625" bestFit="1" customWidth="1"/>
    <col min="4129" max="4129" width="26.625" bestFit="1" customWidth="1"/>
    <col min="4130" max="4130" width="23.375" bestFit="1" customWidth="1"/>
    <col min="4131" max="4131" width="15.375" bestFit="1" customWidth="1"/>
    <col min="4132" max="4132" width="202.625" customWidth="1"/>
    <col min="4133" max="4133" width="46.625" bestFit="1" customWidth="1"/>
    <col min="4134" max="4134" width="26.125" bestFit="1" customWidth="1"/>
    <col min="4135" max="4135" width="18.875" bestFit="1" customWidth="1"/>
    <col min="4136" max="4136" width="42.125" bestFit="1" customWidth="1"/>
    <col min="4137" max="4138" width="18.875" bestFit="1" customWidth="1"/>
    <col min="4139" max="4139" width="22.375" bestFit="1" customWidth="1"/>
    <col min="4140" max="4140" width="17.625" bestFit="1" customWidth="1"/>
    <col min="4141" max="4141" width="17.375" bestFit="1" customWidth="1"/>
    <col min="4142" max="4142" width="15.125" bestFit="1" customWidth="1"/>
    <col min="4143" max="4143" width="27.875" bestFit="1" customWidth="1"/>
    <col min="4144" max="4144" width="31.375" bestFit="1" customWidth="1"/>
    <col min="4145" max="4145" width="14.125" bestFit="1" customWidth="1"/>
    <col min="4146" max="4146" width="10.625" customWidth="1"/>
    <col min="4147" max="4148" width="20.625" customWidth="1"/>
    <col min="4149" max="4149" width="19.375" bestFit="1" customWidth="1"/>
    <col min="4150" max="4150" width="21.875" bestFit="1" customWidth="1"/>
    <col min="4151" max="4151" width="25.625" customWidth="1"/>
    <col min="4152" max="4152" width="25.875" bestFit="1" customWidth="1"/>
    <col min="4153" max="4153" width="19.625" customWidth="1"/>
    <col min="4154" max="4154" width="35.125" bestFit="1" customWidth="1"/>
    <col min="4155" max="4155" width="27.125" bestFit="1" customWidth="1"/>
    <col min="4156" max="4156" width="36.125" bestFit="1" customWidth="1"/>
    <col min="4157" max="4157" width="27.875" bestFit="1" customWidth="1"/>
    <col min="4158" max="4158" width="19.375" bestFit="1" customWidth="1"/>
    <col min="4159" max="4159" width="17.625" bestFit="1" customWidth="1"/>
    <col min="4160" max="4160" width="30.125" bestFit="1" customWidth="1"/>
    <col min="4161" max="4161" width="25.625" customWidth="1"/>
    <col min="4162" max="4162" width="23.125" bestFit="1" customWidth="1"/>
    <col min="4163" max="4163" width="25.625" customWidth="1"/>
    <col min="4164" max="4164" width="23.125" bestFit="1" customWidth="1"/>
    <col min="4165" max="4165" width="19.625" bestFit="1" customWidth="1"/>
    <col min="4166" max="4166" width="23.125" bestFit="1" customWidth="1"/>
    <col min="4167" max="4167" width="24.625" customWidth="1"/>
    <col min="4168" max="4168" width="23.125" bestFit="1" customWidth="1"/>
    <col min="4169" max="4169" width="19.625" bestFit="1" customWidth="1"/>
    <col min="4170" max="4170" width="17.625" bestFit="1" customWidth="1"/>
    <col min="4171" max="4172" width="21.875" bestFit="1" customWidth="1"/>
    <col min="4173" max="4173" width="25.625" customWidth="1"/>
    <col min="4174" max="4174" width="23.125" bestFit="1" customWidth="1"/>
    <col min="4175" max="4175" width="25.625" customWidth="1"/>
    <col min="4176" max="4176" width="23.125" bestFit="1" customWidth="1"/>
    <col min="4177" max="4177" width="19.625" bestFit="1" customWidth="1"/>
    <col min="4178" max="4178" width="23.125" bestFit="1" customWidth="1"/>
    <col min="4179" max="4179" width="24.625" customWidth="1"/>
    <col min="4180" max="4180" width="23.125" bestFit="1" customWidth="1"/>
    <col min="4181" max="4181" width="19.625" bestFit="1" customWidth="1"/>
    <col min="4182" max="4182" width="27.375" bestFit="1" customWidth="1"/>
    <col min="4183" max="4183" width="25.625" customWidth="1"/>
    <col min="4184" max="4184" width="27.375" bestFit="1" customWidth="1"/>
    <col min="4185" max="4185" width="23.875" bestFit="1" customWidth="1"/>
    <col min="4186" max="4186" width="27.375" bestFit="1" customWidth="1"/>
    <col min="4187" max="4187" width="24.625" customWidth="1"/>
    <col min="4188" max="4188" width="27.375" bestFit="1" customWidth="1"/>
    <col min="4189" max="4189" width="23.875" bestFit="1" customWidth="1"/>
    <col min="4190" max="4190" width="17.625" customWidth="1"/>
    <col min="4191" max="4191" width="18.125" customWidth="1"/>
    <col min="4192" max="4193" width="29.125" bestFit="1" customWidth="1"/>
    <col min="4194" max="4194" width="33.375" bestFit="1" customWidth="1"/>
    <col min="4195" max="4195" width="32.375" bestFit="1" customWidth="1"/>
    <col min="4196" max="4197" width="28.875" bestFit="1" customWidth="1"/>
    <col min="4198" max="4198" width="33.125" bestFit="1" customWidth="1"/>
    <col min="4199" max="4199" width="29.125" bestFit="1" customWidth="1"/>
    <col min="4200" max="4201" width="25.375" bestFit="1" customWidth="1"/>
    <col min="4202" max="4202" width="29.875" customWidth="1"/>
    <col min="4203" max="4203" width="16.375" bestFit="1" customWidth="1"/>
    <col min="4204" max="4204" width="19.375" bestFit="1" customWidth="1"/>
    <col min="4205" max="4205" width="27.625" bestFit="1" customWidth="1"/>
    <col min="4206" max="4206" width="10.375" bestFit="1" customWidth="1"/>
    <col min="4207" max="4207" width="18.875" bestFit="1" customWidth="1"/>
    <col min="4208" max="4208" width="24.625" customWidth="1"/>
    <col min="4209" max="4209" width="17.625" bestFit="1" customWidth="1"/>
    <col min="4210" max="4210" width="24.875" bestFit="1" customWidth="1"/>
    <col min="4211" max="4211" width="21.875" bestFit="1" customWidth="1"/>
    <col min="4212" max="4212" width="12.125" bestFit="1" customWidth="1"/>
    <col min="4213" max="4213" width="17.375" bestFit="1" customWidth="1"/>
    <col min="4214" max="4214" width="13.375" bestFit="1" customWidth="1"/>
    <col min="4215" max="4215" width="17.375" bestFit="1" customWidth="1"/>
    <col min="4216" max="4223" width="8.625" bestFit="1" customWidth="1"/>
    <col min="4224" max="4224" width="10.125" bestFit="1" customWidth="1"/>
    <col min="4225" max="4228" width="8.625" bestFit="1" customWidth="1"/>
    <col min="4229" max="4229" width="5.625" bestFit="1" customWidth="1"/>
    <col min="4230" max="4230" width="17.375" bestFit="1" customWidth="1"/>
    <col min="4231" max="4231" width="21.875" bestFit="1" customWidth="1"/>
    <col min="4232" max="4232" width="57.375" bestFit="1" customWidth="1"/>
    <col min="4233" max="4233" width="25.375" bestFit="1" customWidth="1"/>
    <col min="4234" max="4234" width="15.625" customWidth="1"/>
    <col min="4235" max="4235" width="32.125" bestFit="1" customWidth="1"/>
    <col min="4236" max="4236" width="22.625" bestFit="1" customWidth="1"/>
    <col min="4237" max="4237" width="24.875" bestFit="1" customWidth="1"/>
    <col min="4238" max="4238" width="25.625" customWidth="1"/>
    <col min="4239" max="4239" width="31.375" bestFit="1" customWidth="1"/>
    <col min="4240" max="4240" width="24.625" customWidth="1"/>
    <col min="4241" max="4241" width="31.625" bestFit="1" customWidth="1"/>
    <col min="4242" max="4242" width="51.625" bestFit="1" customWidth="1"/>
    <col min="4243" max="4243" width="57.375" bestFit="1" customWidth="1"/>
    <col min="4244" max="4244" width="57.125" bestFit="1" customWidth="1"/>
    <col min="4245" max="4245" width="62.875" bestFit="1" customWidth="1"/>
    <col min="4246" max="4246" width="32.125" bestFit="1" customWidth="1"/>
    <col min="4352" max="4352" width="16.875" bestFit="1" customWidth="1"/>
    <col min="4353" max="4353" width="13.125" bestFit="1" customWidth="1"/>
    <col min="4354" max="4354" width="16.875" bestFit="1" customWidth="1"/>
    <col min="4355" max="4355" width="13.875" bestFit="1" customWidth="1"/>
    <col min="4356" max="4356" width="18.875" bestFit="1" customWidth="1"/>
    <col min="4357" max="4357" width="10.375" bestFit="1" customWidth="1"/>
    <col min="4358" max="4359" width="18.875" bestFit="1" customWidth="1"/>
    <col min="4360" max="4360" width="13.375" customWidth="1"/>
    <col min="4361" max="4362" width="18.875" bestFit="1" customWidth="1"/>
    <col min="4363" max="4363" width="15.125" bestFit="1" customWidth="1"/>
    <col min="4364" max="4364" width="15.375" bestFit="1" customWidth="1"/>
    <col min="4365" max="4365" width="16.625" customWidth="1"/>
    <col min="4366" max="4366" width="13.375" customWidth="1"/>
    <col min="4367" max="4367" width="16.875" bestFit="1" customWidth="1"/>
    <col min="4368" max="4368" width="14.875" bestFit="1" customWidth="1"/>
    <col min="4369" max="4369" width="20.625" bestFit="1" customWidth="1"/>
    <col min="4370" max="4370" width="18.375" bestFit="1" customWidth="1"/>
    <col min="4371" max="4371" width="13.375" bestFit="1" customWidth="1"/>
    <col min="4372" max="4372" width="36.375" customWidth="1"/>
    <col min="4373" max="4373" width="36.375" bestFit="1" customWidth="1"/>
    <col min="4374" max="4374" width="24.625" customWidth="1"/>
    <col min="4375" max="4375" width="36.375" bestFit="1" customWidth="1"/>
    <col min="4376" max="4376" width="21.625" bestFit="1" customWidth="1"/>
    <col min="4377" max="4377" width="21.875" bestFit="1" customWidth="1"/>
    <col min="4378" max="4378" width="21.625" bestFit="1" customWidth="1"/>
    <col min="4379" max="4379" width="13.875" bestFit="1" customWidth="1"/>
    <col min="4380" max="4380" width="10.375" bestFit="1" customWidth="1"/>
    <col min="4381" max="4381" width="18.875" bestFit="1" customWidth="1"/>
    <col min="4382" max="4382" width="10.375" bestFit="1" customWidth="1"/>
    <col min="4383" max="4383" width="98.875" bestFit="1" customWidth="1"/>
    <col min="4384" max="4384" width="17.625" bestFit="1" customWidth="1"/>
    <col min="4385" max="4385" width="26.625" bestFit="1" customWidth="1"/>
    <col min="4386" max="4386" width="23.375" bestFit="1" customWidth="1"/>
    <col min="4387" max="4387" width="15.375" bestFit="1" customWidth="1"/>
    <col min="4388" max="4388" width="202.625" customWidth="1"/>
    <col min="4389" max="4389" width="46.625" bestFit="1" customWidth="1"/>
    <col min="4390" max="4390" width="26.125" bestFit="1" customWidth="1"/>
    <col min="4391" max="4391" width="18.875" bestFit="1" customWidth="1"/>
    <col min="4392" max="4392" width="42.125" bestFit="1" customWidth="1"/>
    <col min="4393" max="4394" width="18.875" bestFit="1" customWidth="1"/>
    <col min="4395" max="4395" width="22.375" bestFit="1" customWidth="1"/>
    <col min="4396" max="4396" width="17.625" bestFit="1" customWidth="1"/>
    <col min="4397" max="4397" width="17.375" bestFit="1" customWidth="1"/>
    <col min="4398" max="4398" width="15.125" bestFit="1" customWidth="1"/>
    <col min="4399" max="4399" width="27.875" bestFit="1" customWidth="1"/>
    <col min="4400" max="4400" width="31.375" bestFit="1" customWidth="1"/>
    <col min="4401" max="4401" width="14.125" bestFit="1" customWidth="1"/>
    <col min="4402" max="4402" width="10.625" customWidth="1"/>
    <col min="4403" max="4404" width="20.625" customWidth="1"/>
    <col min="4405" max="4405" width="19.375" bestFit="1" customWidth="1"/>
    <col min="4406" max="4406" width="21.875" bestFit="1" customWidth="1"/>
    <col min="4407" max="4407" width="25.625" customWidth="1"/>
    <col min="4408" max="4408" width="25.875" bestFit="1" customWidth="1"/>
    <col min="4409" max="4409" width="19.625" customWidth="1"/>
    <col min="4410" max="4410" width="35.125" bestFit="1" customWidth="1"/>
    <col min="4411" max="4411" width="27.125" bestFit="1" customWidth="1"/>
    <col min="4412" max="4412" width="36.125" bestFit="1" customWidth="1"/>
    <col min="4413" max="4413" width="27.875" bestFit="1" customWidth="1"/>
    <col min="4414" max="4414" width="19.375" bestFit="1" customWidth="1"/>
    <col min="4415" max="4415" width="17.625" bestFit="1" customWidth="1"/>
    <col min="4416" max="4416" width="30.125" bestFit="1" customWidth="1"/>
    <col min="4417" max="4417" width="25.625" customWidth="1"/>
    <col min="4418" max="4418" width="23.125" bestFit="1" customWidth="1"/>
    <col min="4419" max="4419" width="25.625" customWidth="1"/>
    <col min="4420" max="4420" width="23.125" bestFit="1" customWidth="1"/>
    <col min="4421" max="4421" width="19.625" bestFit="1" customWidth="1"/>
    <col min="4422" max="4422" width="23.125" bestFit="1" customWidth="1"/>
    <col min="4423" max="4423" width="24.625" customWidth="1"/>
    <col min="4424" max="4424" width="23.125" bestFit="1" customWidth="1"/>
    <col min="4425" max="4425" width="19.625" bestFit="1" customWidth="1"/>
    <col min="4426" max="4426" width="17.625" bestFit="1" customWidth="1"/>
    <col min="4427" max="4428" width="21.875" bestFit="1" customWidth="1"/>
    <col min="4429" max="4429" width="25.625" customWidth="1"/>
    <col min="4430" max="4430" width="23.125" bestFit="1" customWidth="1"/>
    <col min="4431" max="4431" width="25.625" customWidth="1"/>
    <col min="4432" max="4432" width="23.125" bestFit="1" customWidth="1"/>
    <col min="4433" max="4433" width="19.625" bestFit="1" customWidth="1"/>
    <col min="4434" max="4434" width="23.125" bestFit="1" customWidth="1"/>
    <col min="4435" max="4435" width="24.625" customWidth="1"/>
    <col min="4436" max="4436" width="23.125" bestFit="1" customWidth="1"/>
    <col min="4437" max="4437" width="19.625" bestFit="1" customWidth="1"/>
    <col min="4438" max="4438" width="27.375" bestFit="1" customWidth="1"/>
    <col min="4439" max="4439" width="25.625" customWidth="1"/>
    <col min="4440" max="4440" width="27.375" bestFit="1" customWidth="1"/>
    <col min="4441" max="4441" width="23.875" bestFit="1" customWidth="1"/>
    <col min="4442" max="4442" width="27.375" bestFit="1" customWidth="1"/>
    <col min="4443" max="4443" width="24.625" customWidth="1"/>
    <col min="4444" max="4444" width="27.375" bestFit="1" customWidth="1"/>
    <col min="4445" max="4445" width="23.875" bestFit="1" customWidth="1"/>
    <col min="4446" max="4446" width="17.625" customWidth="1"/>
    <col min="4447" max="4447" width="18.125" customWidth="1"/>
    <col min="4448" max="4449" width="29.125" bestFit="1" customWidth="1"/>
    <col min="4450" max="4450" width="33.375" bestFit="1" customWidth="1"/>
    <col min="4451" max="4451" width="32.375" bestFit="1" customWidth="1"/>
    <col min="4452" max="4453" width="28.875" bestFit="1" customWidth="1"/>
    <col min="4454" max="4454" width="33.125" bestFit="1" customWidth="1"/>
    <col min="4455" max="4455" width="29.125" bestFit="1" customWidth="1"/>
    <col min="4456" max="4457" width="25.375" bestFit="1" customWidth="1"/>
    <col min="4458" max="4458" width="29.875" customWidth="1"/>
    <col min="4459" max="4459" width="16.375" bestFit="1" customWidth="1"/>
    <col min="4460" max="4460" width="19.375" bestFit="1" customWidth="1"/>
    <col min="4461" max="4461" width="27.625" bestFit="1" customWidth="1"/>
    <col min="4462" max="4462" width="10.375" bestFit="1" customWidth="1"/>
    <col min="4463" max="4463" width="18.875" bestFit="1" customWidth="1"/>
    <col min="4464" max="4464" width="24.625" customWidth="1"/>
    <col min="4465" max="4465" width="17.625" bestFit="1" customWidth="1"/>
    <col min="4466" max="4466" width="24.875" bestFit="1" customWidth="1"/>
    <col min="4467" max="4467" width="21.875" bestFit="1" customWidth="1"/>
    <col min="4468" max="4468" width="12.125" bestFit="1" customWidth="1"/>
    <col min="4469" max="4469" width="17.375" bestFit="1" customWidth="1"/>
    <col min="4470" max="4470" width="13.375" bestFit="1" customWidth="1"/>
    <col min="4471" max="4471" width="17.375" bestFit="1" customWidth="1"/>
    <col min="4472" max="4479" width="8.625" bestFit="1" customWidth="1"/>
    <col min="4480" max="4480" width="10.125" bestFit="1" customWidth="1"/>
    <col min="4481" max="4484" width="8.625" bestFit="1" customWidth="1"/>
    <col min="4485" max="4485" width="5.625" bestFit="1" customWidth="1"/>
    <col min="4486" max="4486" width="17.375" bestFit="1" customWidth="1"/>
    <col min="4487" max="4487" width="21.875" bestFit="1" customWidth="1"/>
    <col min="4488" max="4488" width="57.375" bestFit="1" customWidth="1"/>
    <col min="4489" max="4489" width="25.375" bestFit="1" customWidth="1"/>
    <col min="4490" max="4490" width="15.625" customWidth="1"/>
    <col min="4491" max="4491" width="32.125" bestFit="1" customWidth="1"/>
    <col min="4492" max="4492" width="22.625" bestFit="1" customWidth="1"/>
    <col min="4493" max="4493" width="24.875" bestFit="1" customWidth="1"/>
    <col min="4494" max="4494" width="25.625" customWidth="1"/>
    <col min="4495" max="4495" width="31.375" bestFit="1" customWidth="1"/>
    <col min="4496" max="4496" width="24.625" customWidth="1"/>
    <col min="4497" max="4497" width="31.625" bestFit="1" customWidth="1"/>
    <col min="4498" max="4498" width="51.625" bestFit="1" customWidth="1"/>
    <col min="4499" max="4499" width="57.375" bestFit="1" customWidth="1"/>
    <col min="4500" max="4500" width="57.125" bestFit="1" customWidth="1"/>
    <col min="4501" max="4501" width="62.875" bestFit="1" customWidth="1"/>
    <col min="4502" max="4502" width="32.125" bestFit="1" customWidth="1"/>
    <col min="4608" max="4608" width="16.875" bestFit="1" customWidth="1"/>
    <col min="4609" max="4609" width="13.125" bestFit="1" customWidth="1"/>
    <col min="4610" max="4610" width="16.875" bestFit="1" customWidth="1"/>
    <col min="4611" max="4611" width="13.875" bestFit="1" customWidth="1"/>
    <col min="4612" max="4612" width="18.875" bestFit="1" customWidth="1"/>
    <col min="4613" max="4613" width="10.375" bestFit="1" customWidth="1"/>
    <col min="4614" max="4615" width="18.875" bestFit="1" customWidth="1"/>
    <col min="4616" max="4616" width="13.375" customWidth="1"/>
    <col min="4617" max="4618" width="18.875" bestFit="1" customWidth="1"/>
    <col min="4619" max="4619" width="15.125" bestFit="1" customWidth="1"/>
    <col min="4620" max="4620" width="15.375" bestFit="1" customWidth="1"/>
    <col min="4621" max="4621" width="16.625" customWidth="1"/>
    <col min="4622" max="4622" width="13.375" customWidth="1"/>
    <col min="4623" max="4623" width="16.875" bestFit="1" customWidth="1"/>
    <col min="4624" max="4624" width="14.875" bestFit="1" customWidth="1"/>
    <col min="4625" max="4625" width="20.625" bestFit="1" customWidth="1"/>
    <col min="4626" max="4626" width="18.375" bestFit="1" customWidth="1"/>
    <col min="4627" max="4627" width="13.375" bestFit="1" customWidth="1"/>
    <col min="4628" max="4628" width="36.375" customWidth="1"/>
    <col min="4629" max="4629" width="36.375" bestFit="1" customWidth="1"/>
    <col min="4630" max="4630" width="24.625" customWidth="1"/>
    <col min="4631" max="4631" width="36.375" bestFit="1" customWidth="1"/>
    <col min="4632" max="4632" width="21.625" bestFit="1" customWidth="1"/>
    <col min="4633" max="4633" width="21.875" bestFit="1" customWidth="1"/>
    <col min="4634" max="4634" width="21.625" bestFit="1" customWidth="1"/>
    <col min="4635" max="4635" width="13.875" bestFit="1" customWidth="1"/>
    <col min="4636" max="4636" width="10.375" bestFit="1" customWidth="1"/>
    <col min="4637" max="4637" width="18.875" bestFit="1" customWidth="1"/>
    <col min="4638" max="4638" width="10.375" bestFit="1" customWidth="1"/>
    <col min="4639" max="4639" width="98.875" bestFit="1" customWidth="1"/>
    <col min="4640" max="4640" width="17.625" bestFit="1" customWidth="1"/>
    <col min="4641" max="4641" width="26.625" bestFit="1" customWidth="1"/>
    <col min="4642" max="4642" width="23.375" bestFit="1" customWidth="1"/>
    <col min="4643" max="4643" width="15.375" bestFit="1" customWidth="1"/>
    <col min="4644" max="4644" width="202.625" customWidth="1"/>
    <col min="4645" max="4645" width="46.625" bestFit="1" customWidth="1"/>
    <col min="4646" max="4646" width="26.125" bestFit="1" customWidth="1"/>
    <col min="4647" max="4647" width="18.875" bestFit="1" customWidth="1"/>
    <col min="4648" max="4648" width="42.125" bestFit="1" customWidth="1"/>
    <col min="4649" max="4650" width="18.875" bestFit="1" customWidth="1"/>
    <col min="4651" max="4651" width="22.375" bestFit="1" customWidth="1"/>
    <col min="4652" max="4652" width="17.625" bestFit="1" customWidth="1"/>
    <col min="4653" max="4653" width="17.375" bestFit="1" customWidth="1"/>
    <col min="4654" max="4654" width="15.125" bestFit="1" customWidth="1"/>
    <col min="4655" max="4655" width="27.875" bestFit="1" customWidth="1"/>
    <col min="4656" max="4656" width="31.375" bestFit="1" customWidth="1"/>
    <col min="4657" max="4657" width="14.125" bestFit="1" customWidth="1"/>
    <col min="4658" max="4658" width="10.625" customWidth="1"/>
    <col min="4659" max="4660" width="20.625" customWidth="1"/>
    <col min="4661" max="4661" width="19.375" bestFit="1" customWidth="1"/>
    <col min="4662" max="4662" width="21.875" bestFit="1" customWidth="1"/>
    <col min="4663" max="4663" width="25.625" customWidth="1"/>
    <col min="4664" max="4664" width="25.875" bestFit="1" customWidth="1"/>
    <col min="4665" max="4665" width="19.625" customWidth="1"/>
    <col min="4666" max="4666" width="35.125" bestFit="1" customWidth="1"/>
    <col min="4667" max="4667" width="27.125" bestFit="1" customWidth="1"/>
    <col min="4668" max="4668" width="36.125" bestFit="1" customWidth="1"/>
    <col min="4669" max="4669" width="27.875" bestFit="1" customWidth="1"/>
    <col min="4670" max="4670" width="19.375" bestFit="1" customWidth="1"/>
    <col min="4671" max="4671" width="17.625" bestFit="1" customWidth="1"/>
    <col min="4672" max="4672" width="30.125" bestFit="1" customWidth="1"/>
    <col min="4673" max="4673" width="25.625" customWidth="1"/>
    <col min="4674" max="4674" width="23.125" bestFit="1" customWidth="1"/>
    <col min="4675" max="4675" width="25.625" customWidth="1"/>
    <col min="4676" max="4676" width="23.125" bestFit="1" customWidth="1"/>
    <col min="4677" max="4677" width="19.625" bestFit="1" customWidth="1"/>
    <col min="4678" max="4678" width="23.125" bestFit="1" customWidth="1"/>
    <col min="4679" max="4679" width="24.625" customWidth="1"/>
    <col min="4680" max="4680" width="23.125" bestFit="1" customWidth="1"/>
    <col min="4681" max="4681" width="19.625" bestFit="1" customWidth="1"/>
    <col min="4682" max="4682" width="17.625" bestFit="1" customWidth="1"/>
    <col min="4683" max="4684" width="21.875" bestFit="1" customWidth="1"/>
    <col min="4685" max="4685" width="25.625" customWidth="1"/>
    <col min="4686" max="4686" width="23.125" bestFit="1" customWidth="1"/>
    <col min="4687" max="4687" width="25.625" customWidth="1"/>
    <col min="4688" max="4688" width="23.125" bestFit="1" customWidth="1"/>
    <col min="4689" max="4689" width="19.625" bestFit="1" customWidth="1"/>
    <col min="4690" max="4690" width="23.125" bestFit="1" customWidth="1"/>
    <col min="4691" max="4691" width="24.625" customWidth="1"/>
    <col min="4692" max="4692" width="23.125" bestFit="1" customWidth="1"/>
    <col min="4693" max="4693" width="19.625" bestFit="1" customWidth="1"/>
    <col min="4694" max="4694" width="27.375" bestFit="1" customWidth="1"/>
    <col min="4695" max="4695" width="25.625" customWidth="1"/>
    <col min="4696" max="4696" width="27.375" bestFit="1" customWidth="1"/>
    <col min="4697" max="4697" width="23.875" bestFit="1" customWidth="1"/>
    <col min="4698" max="4698" width="27.375" bestFit="1" customWidth="1"/>
    <col min="4699" max="4699" width="24.625" customWidth="1"/>
    <col min="4700" max="4700" width="27.375" bestFit="1" customWidth="1"/>
    <col min="4701" max="4701" width="23.875" bestFit="1" customWidth="1"/>
    <col min="4702" max="4702" width="17.625" customWidth="1"/>
    <col min="4703" max="4703" width="18.125" customWidth="1"/>
    <col min="4704" max="4705" width="29.125" bestFit="1" customWidth="1"/>
    <col min="4706" max="4706" width="33.375" bestFit="1" customWidth="1"/>
    <col min="4707" max="4707" width="32.375" bestFit="1" customWidth="1"/>
    <col min="4708" max="4709" width="28.875" bestFit="1" customWidth="1"/>
    <col min="4710" max="4710" width="33.125" bestFit="1" customWidth="1"/>
    <col min="4711" max="4711" width="29.125" bestFit="1" customWidth="1"/>
    <col min="4712" max="4713" width="25.375" bestFit="1" customWidth="1"/>
    <col min="4714" max="4714" width="29.875" customWidth="1"/>
    <col min="4715" max="4715" width="16.375" bestFit="1" customWidth="1"/>
    <col min="4716" max="4716" width="19.375" bestFit="1" customWidth="1"/>
    <col min="4717" max="4717" width="27.625" bestFit="1" customWidth="1"/>
    <col min="4718" max="4718" width="10.375" bestFit="1" customWidth="1"/>
    <col min="4719" max="4719" width="18.875" bestFit="1" customWidth="1"/>
    <col min="4720" max="4720" width="24.625" customWidth="1"/>
    <col min="4721" max="4721" width="17.625" bestFit="1" customWidth="1"/>
    <col min="4722" max="4722" width="24.875" bestFit="1" customWidth="1"/>
    <col min="4723" max="4723" width="21.875" bestFit="1" customWidth="1"/>
    <col min="4724" max="4724" width="12.125" bestFit="1" customWidth="1"/>
    <col min="4725" max="4725" width="17.375" bestFit="1" customWidth="1"/>
    <col min="4726" max="4726" width="13.375" bestFit="1" customWidth="1"/>
    <col min="4727" max="4727" width="17.375" bestFit="1" customWidth="1"/>
    <col min="4728" max="4735" width="8.625" bestFit="1" customWidth="1"/>
    <col min="4736" max="4736" width="10.125" bestFit="1" customWidth="1"/>
    <col min="4737" max="4740" width="8.625" bestFit="1" customWidth="1"/>
    <col min="4741" max="4741" width="5.625" bestFit="1" customWidth="1"/>
    <col min="4742" max="4742" width="17.375" bestFit="1" customWidth="1"/>
    <col min="4743" max="4743" width="21.875" bestFit="1" customWidth="1"/>
    <col min="4744" max="4744" width="57.375" bestFit="1" customWidth="1"/>
    <col min="4745" max="4745" width="25.375" bestFit="1" customWidth="1"/>
    <col min="4746" max="4746" width="15.625" customWidth="1"/>
    <col min="4747" max="4747" width="32.125" bestFit="1" customWidth="1"/>
    <col min="4748" max="4748" width="22.625" bestFit="1" customWidth="1"/>
    <col min="4749" max="4749" width="24.875" bestFit="1" customWidth="1"/>
    <col min="4750" max="4750" width="25.625" customWidth="1"/>
    <col min="4751" max="4751" width="31.375" bestFit="1" customWidth="1"/>
    <col min="4752" max="4752" width="24.625" customWidth="1"/>
    <col min="4753" max="4753" width="31.625" bestFit="1" customWidth="1"/>
    <col min="4754" max="4754" width="51.625" bestFit="1" customWidth="1"/>
    <col min="4755" max="4755" width="57.375" bestFit="1" customWidth="1"/>
    <col min="4756" max="4756" width="57.125" bestFit="1" customWidth="1"/>
    <col min="4757" max="4757" width="62.875" bestFit="1" customWidth="1"/>
    <col min="4758" max="4758" width="32.125" bestFit="1" customWidth="1"/>
    <col min="4864" max="4864" width="16.875" bestFit="1" customWidth="1"/>
    <col min="4865" max="4865" width="13.125" bestFit="1" customWidth="1"/>
    <col min="4866" max="4866" width="16.875" bestFit="1" customWidth="1"/>
    <col min="4867" max="4867" width="13.875" bestFit="1" customWidth="1"/>
    <col min="4868" max="4868" width="18.875" bestFit="1" customWidth="1"/>
    <col min="4869" max="4869" width="10.375" bestFit="1" customWidth="1"/>
    <col min="4870" max="4871" width="18.875" bestFit="1" customWidth="1"/>
    <col min="4872" max="4872" width="13.375" customWidth="1"/>
    <col min="4873" max="4874" width="18.875" bestFit="1" customWidth="1"/>
    <col min="4875" max="4875" width="15.125" bestFit="1" customWidth="1"/>
    <col min="4876" max="4876" width="15.375" bestFit="1" customWidth="1"/>
    <col min="4877" max="4877" width="16.625" customWidth="1"/>
    <col min="4878" max="4878" width="13.375" customWidth="1"/>
    <col min="4879" max="4879" width="16.875" bestFit="1" customWidth="1"/>
    <col min="4880" max="4880" width="14.875" bestFit="1" customWidth="1"/>
    <col min="4881" max="4881" width="20.625" bestFit="1" customWidth="1"/>
    <col min="4882" max="4882" width="18.375" bestFit="1" customWidth="1"/>
    <col min="4883" max="4883" width="13.375" bestFit="1" customWidth="1"/>
    <col min="4884" max="4884" width="36.375" customWidth="1"/>
    <col min="4885" max="4885" width="36.375" bestFit="1" customWidth="1"/>
    <col min="4886" max="4886" width="24.625" customWidth="1"/>
    <col min="4887" max="4887" width="36.375" bestFit="1" customWidth="1"/>
    <col min="4888" max="4888" width="21.625" bestFit="1" customWidth="1"/>
    <col min="4889" max="4889" width="21.875" bestFit="1" customWidth="1"/>
    <col min="4890" max="4890" width="21.625" bestFit="1" customWidth="1"/>
    <col min="4891" max="4891" width="13.875" bestFit="1" customWidth="1"/>
    <col min="4892" max="4892" width="10.375" bestFit="1" customWidth="1"/>
    <col min="4893" max="4893" width="18.875" bestFit="1" customWidth="1"/>
    <col min="4894" max="4894" width="10.375" bestFit="1" customWidth="1"/>
    <col min="4895" max="4895" width="98.875" bestFit="1" customWidth="1"/>
    <col min="4896" max="4896" width="17.625" bestFit="1" customWidth="1"/>
    <col min="4897" max="4897" width="26.625" bestFit="1" customWidth="1"/>
    <col min="4898" max="4898" width="23.375" bestFit="1" customWidth="1"/>
    <col min="4899" max="4899" width="15.375" bestFit="1" customWidth="1"/>
    <col min="4900" max="4900" width="202.625" customWidth="1"/>
    <col min="4901" max="4901" width="46.625" bestFit="1" customWidth="1"/>
    <col min="4902" max="4902" width="26.125" bestFit="1" customWidth="1"/>
    <col min="4903" max="4903" width="18.875" bestFit="1" customWidth="1"/>
    <col min="4904" max="4904" width="42.125" bestFit="1" customWidth="1"/>
    <col min="4905" max="4906" width="18.875" bestFit="1" customWidth="1"/>
    <col min="4907" max="4907" width="22.375" bestFit="1" customWidth="1"/>
    <col min="4908" max="4908" width="17.625" bestFit="1" customWidth="1"/>
    <col min="4909" max="4909" width="17.375" bestFit="1" customWidth="1"/>
    <col min="4910" max="4910" width="15.125" bestFit="1" customWidth="1"/>
    <col min="4911" max="4911" width="27.875" bestFit="1" customWidth="1"/>
    <col min="4912" max="4912" width="31.375" bestFit="1" customWidth="1"/>
    <col min="4913" max="4913" width="14.125" bestFit="1" customWidth="1"/>
    <col min="4914" max="4914" width="10.625" customWidth="1"/>
    <col min="4915" max="4916" width="20.625" customWidth="1"/>
    <col min="4917" max="4917" width="19.375" bestFit="1" customWidth="1"/>
    <col min="4918" max="4918" width="21.875" bestFit="1" customWidth="1"/>
    <col min="4919" max="4919" width="25.625" customWidth="1"/>
    <col min="4920" max="4920" width="25.875" bestFit="1" customWidth="1"/>
    <col min="4921" max="4921" width="19.625" customWidth="1"/>
    <col min="4922" max="4922" width="35.125" bestFit="1" customWidth="1"/>
    <col min="4923" max="4923" width="27.125" bestFit="1" customWidth="1"/>
    <col min="4924" max="4924" width="36.125" bestFit="1" customWidth="1"/>
    <col min="4925" max="4925" width="27.875" bestFit="1" customWidth="1"/>
    <col min="4926" max="4926" width="19.375" bestFit="1" customWidth="1"/>
    <col min="4927" max="4927" width="17.625" bestFit="1" customWidth="1"/>
    <col min="4928" max="4928" width="30.125" bestFit="1" customWidth="1"/>
    <col min="4929" max="4929" width="25.625" customWidth="1"/>
    <col min="4930" max="4930" width="23.125" bestFit="1" customWidth="1"/>
    <col min="4931" max="4931" width="25.625" customWidth="1"/>
    <col min="4932" max="4932" width="23.125" bestFit="1" customWidth="1"/>
    <col min="4933" max="4933" width="19.625" bestFit="1" customWidth="1"/>
    <col min="4934" max="4934" width="23.125" bestFit="1" customWidth="1"/>
    <col min="4935" max="4935" width="24.625" customWidth="1"/>
    <col min="4936" max="4936" width="23.125" bestFit="1" customWidth="1"/>
    <col min="4937" max="4937" width="19.625" bestFit="1" customWidth="1"/>
    <col min="4938" max="4938" width="17.625" bestFit="1" customWidth="1"/>
    <col min="4939" max="4940" width="21.875" bestFit="1" customWidth="1"/>
    <col min="4941" max="4941" width="25.625" customWidth="1"/>
    <col min="4942" max="4942" width="23.125" bestFit="1" customWidth="1"/>
    <col min="4943" max="4943" width="25.625" customWidth="1"/>
    <col min="4944" max="4944" width="23.125" bestFit="1" customWidth="1"/>
    <col min="4945" max="4945" width="19.625" bestFit="1" customWidth="1"/>
    <col min="4946" max="4946" width="23.125" bestFit="1" customWidth="1"/>
    <col min="4947" max="4947" width="24.625" customWidth="1"/>
    <col min="4948" max="4948" width="23.125" bestFit="1" customWidth="1"/>
    <col min="4949" max="4949" width="19.625" bestFit="1" customWidth="1"/>
    <col min="4950" max="4950" width="27.375" bestFit="1" customWidth="1"/>
    <col min="4951" max="4951" width="25.625" customWidth="1"/>
    <col min="4952" max="4952" width="27.375" bestFit="1" customWidth="1"/>
    <col min="4953" max="4953" width="23.875" bestFit="1" customWidth="1"/>
    <col min="4954" max="4954" width="27.375" bestFit="1" customWidth="1"/>
    <col min="4955" max="4955" width="24.625" customWidth="1"/>
    <col min="4956" max="4956" width="27.375" bestFit="1" customWidth="1"/>
    <col min="4957" max="4957" width="23.875" bestFit="1" customWidth="1"/>
    <col min="4958" max="4958" width="17.625" customWidth="1"/>
    <col min="4959" max="4959" width="18.125" customWidth="1"/>
    <col min="4960" max="4961" width="29.125" bestFit="1" customWidth="1"/>
    <col min="4962" max="4962" width="33.375" bestFit="1" customWidth="1"/>
    <col min="4963" max="4963" width="32.375" bestFit="1" customWidth="1"/>
    <col min="4964" max="4965" width="28.875" bestFit="1" customWidth="1"/>
    <col min="4966" max="4966" width="33.125" bestFit="1" customWidth="1"/>
    <col min="4967" max="4967" width="29.125" bestFit="1" customWidth="1"/>
    <col min="4968" max="4969" width="25.375" bestFit="1" customWidth="1"/>
    <col min="4970" max="4970" width="29.875" customWidth="1"/>
    <col min="4971" max="4971" width="16.375" bestFit="1" customWidth="1"/>
    <col min="4972" max="4972" width="19.375" bestFit="1" customWidth="1"/>
    <col min="4973" max="4973" width="27.625" bestFit="1" customWidth="1"/>
    <col min="4974" max="4974" width="10.375" bestFit="1" customWidth="1"/>
    <col min="4975" max="4975" width="18.875" bestFit="1" customWidth="1"/>
    <col min="4976" max="4976" width="24.625" customWidth="1"/>
    <col min="4977" max="4977" width="17.625" bestFit="1" customWidth="1"/>
    <col min="4978" max="4978" width="24.875" bestFit="1" customWidth="1"/>
    <col min="4979" max="4979" width="21.875" bestFit="1" customWidth="1"/>
    <col min="4980" max="4980" width="12.125" bestFit="1" customWidth="1"/>
    <col min="4981" max="4981" width="17.375" bestFit="1" customWidth="1"/>
    <col min="4982" max="4982" width="13.375" bestFit="1" customWidth="1"/>
    <col min="4983" max="4983" width="17.375" bestFit="1" customWidth="1"/>
    <col min="4984" max="4991" width="8.625" bestFit="1" customWidth="1"/>
    <col min="4992" max="4992" width="10.125" bestFit="1" customWidth="1"/>
    <col min="4993" max="4996" width="8.625" bestFit="1" customWidth="1"/>
    <col min="4997" max="4997" width="5.625" bestFit="1" customWidth="1"/>
    <col min="4998" max="4998" width="17.375" bestFit="1" customWidth="1"/>
    <col min="4999" max="4999" width="21.875" bestFit="1" customWidth="1"/>
    <col min="5000" max="5000" width="57.375" bestFit="1" customWidth="1"/>
    <col min="5001" max="5001" width="25.375" bestFit="1" customWidth="1"/>
    <col min="5002" max="5002" width="15.625" customWidth="1"/>
    <col min="5003" max="5003" width="32.125" bestFit="1" customWidth="1"/>
    <col min="5004" max="5004" width="22.625" bestFit="1" customWidth="1"/>
    <col min="5005" max="5005" width="24.875" bestFit="1" customWidth="1"/>
    <col min="5006" max="5006" width="25.625" customWidth="1"/>
    <col min="5007" max="5007" width="31.375" bestFit="1" customWidth="1"/>
    <col min="5008" max="5008" width="24.625" customWidth="1"/>
    <col min="5009" max="5009" width="31.625" bestFit="1" customWidth="1"/>
    <col min="5010" max="5010" width="51.625" bestFit="1" customWidth="1"/>
    <col min="5011" max="5011" width="57.375" bestFit="1" customWidth="1"/>
    <col min="5012" max="5012" width="57.125" bestFit="1" customWidth="1"/>
    <col min="5013" max="5013" width="62.875" bestFit="1" customWidth="1"/>
    <col min="5014" max="5014" width="32.125" bestFit="1" customWidth="1"/>
    <col min="5120" max="5120" width="16.875" bestFit="1" customWidth="1"/>
    <col min="5121" max="5121" width="13.125" bestFit="1" customWidth="1"/>
    <col min="5122" max="5122" width="16.875" bestFit="1" customWidth="1"/>
    <col min="5123" max="5123" width="13.875" bestFit="1" customWidth="1"/>
    <col min="5124" max="5124" width="18.875" bestFit="1" customWidth="1"/>
    <col min="5125" max="5125" width="10.375" bestFit="1" customWidth="1"/>
    <col min="5126" max="5127" width="18.875" bestFit="1" customWidth="1"/>
    <col min="5128" max="5128" width="13.375" customWidth="1"/>
    <col min="5129" max="5130" width="18.875" bestFit="1" customWidth="1"/>
    <col min="5131" max="5131" width="15.125" bestFit="1" customWidth="1"/>
    <col min="5132" max="5132" width="15.375" bestFit="1" customWidth="1"/>
    <col min="5133" max="5133" width="16.625" customWidth="1"/>
    <col min="5134" max="5134" width="13.375" customWidth="1"/>
    <col min="5135" max="5135" width="16.875" bestFit="1" customWidth="1"/>
    <col min="5136" max="5136" width="14.875" bestFit="1" customWidth="1"/>
    <col min="5137" max="5137" width="20.625" bestFit="1" customWidth="1"/>
    <col min="5138" max="5138" width="18.375" bestFit="1" customWidth="1"/>
    <col min="5139" max="5139" width="13.375" bestFit="1" customWidth="1"/>
    <col min="5140" max="5140" width="36.375" customWidth="1"/>
    <col min="5141" max="5141" width="36.375" bestFit="1" customWidth="1"/>
    <col min="5142" max="5142" width="24.625" customWidth="1"/>
    <col min="5143" max="5143" width="36.375" bestFit="1" customWidth="1"/>
    <col min="5144" max="5144" width="21.625" bestFit="1" customWidth="1"/>
    <col min="5145" max="5145" width="21.875" bestFit="1" customWidth="1"/>
    <col min="5146" max="5146" width="21.625" bestFit="1" customWidth="1"/>
    <col min="5147" max="5147" width="13.875" bestFit="1" customWidth="1"/>
    <col min="5148" max="5148" width="10.375" bestFit="1" customWidth="1"/>
    <col min="5149" max="5149" width="18.875" bestFit="1" customWidth="1"/>
    <col min="5150" max="5150" width="10.375" bestFit="1" customWidth="1"/>
    <col min="5151" max="5151" width="98.875" bestFit="1" customWidth="1"/>
    <col min="5152" max="5152" width="17.625" bestFit="1" customWidth="1"/>
    <col min="5153" max="5153" width="26.625" bestFit="1" customWidth="1"/>
    <col min="5154" max="5154" width="23.375" bestFit="1" customWidth="1"/>
    <col min="5155" max="5155" width="15.375" bestFit="1" customWidth="1"/>
    <col min="5156" max="5156" width="202.625" customWidth="1"/>
    <col min="5157" max="5157" width="46.625" bestFit="1" customWidth="1"/>
    <col min="5158" max="5158" width="26.125" bestFit="1" customWidth="1"/>
    <col min="5159" max="5159" width="18.875" bestFit="1" customWidth="1"/>
    <col min="5160" max="5160" width="42.125" bestFit="1" customWidth="1"/>
    <col min="5161" max="5162" width="18.875" bestFit="1" customWidth="1"/>
    <col min="5163" max="5163" width="22.375" bestFit="1" customWidth="1"/>
    <col min="5164" max="5164" width="17.625" bestFit="1" customWidth="1"/>
    <col min="5165" max="5165" width="17.375" bestFit="1" customWidth="1"/>
    <col min="5166" max="5166" width="15.125" bestFit="1" customWidth="1"/>
    <col min="5167" max="5167" width="27.875" bestFit="1" customWidth="1"/>
    <col min="5168" max="5168" width="31.375" bestFit="1" customWidth="1"/>
    <col min="5169" max="5169" width="14.125" bestFit="1" customWidth="1"/>
    <col min="5170" max="5170" width="10.625" customWidth="1"/>
    <col min="5171" max="5172" width="20.625" customWidth="1"/>
    <col min="5173" max="5173" width="19.375" bestFit="1" customWidth="1"/>
    <col min="5174" max="5174" width="21.875" bestFit="1" customWidth="1"/>
    <col min="5175" max="5175" width="25.625" customWidth="1"/>
    <col min="5176" max="5176" width="25.875" bestFit="1" customWidth="1"/>
    <col min="5177" max="5177" width="19.625" customWidth="1"/>
    <col min="5178" max="5178" width="35.125" bestFit="1" customWidth="1"/>
    <col min="5179" max="5179" width="27.125" bestFit="1" customWidth="1"/>
    <col min="5180" max="5180" width="36.125" bestFit="1" customWidth="1"/>
    <col min="5181" max="5181" width="27.875" bestFit="1" customWidth="1"/>
    <col min="5182" max="5182" width="19.375" bestFit="1" customWidth="1"/>
    <col min="5183" max="5183" width="17.625" bestFit="1" customWidth="1"/>
    <col min="5184" max="5184" width="30.125" bestFit="1" customWidth="1"/>
    <col min="5185" max="5185" width="25.625" customWidth="1"/>
    <col min="5186" max="5186" width="23.125" bestFit="1" customWidth="1"/>
    <col min="5187" max="5187" width="25.625" customWidth="1"/>
    <col min="5188" max="5188" width="23.125" bestFit="1" customWidth="1"/>
    <col min="5189" max="5189" width="19.625" bestFit="1" customWidth="1"/>
    <col min="5190" max="5190" width="23.125" bestFit="1" customWidth="1"/>
    <col min="5191" max="5191" width="24.625" customWidth="1"/>
    <col min="5192" max="5192" width="23.125" bestFit="1" customWidth="1"/>
    <col min="5193" max="5193" width="19.625" bestFit="1" customWidth="1"/>
    <col min="5194" max="5194" width="17.625" bestFit="1" customWidth="1"/>
    <col min="5195" max="5196" width="21.875" bestFit="1" customWidth="1"/>
    <col min="5197" max="5197" width="25.625" customWidth="1"/>
    <col min="5198" max="5198" width="23.125" bestFit="1" customWidth="1"/>
    <col min="5199" max="5199" width="25.625" customWidth="1"/>
    <col min="5200" max="5200" width="23.125" bestFit="1" customWidth="1"/>
    <col min="5201" max="5201" width="19.625" bestFit="1" customWidth="1"/>
    <col min="5202" max="5202" width="23.125" bestFit="1" customWidth="1"/>
    <col min="5203" max="5203" width="24.625" customWidth="1"/>
    <col min="5204" max="5204" width="23.125" bestFit="1" customWidth="1"/>
    <col min="5205" max="5205" width="19.625" bestFit="1" customWidth="1"/>
    <col min="5206" max="5206" width="27.375" bestFit="1" customWidth="1"/>
    <col min="5207" max="5207" width="25.625" customWidth="1"/>
    <col min="5208" max="5208" width="27.375" bestFit="1" customWidth="1"/>
    <col min="5209" max="5209" width="23.875" bestFit="1" customWidth="1"/>
    <col min="5210" max="5210" width="27.375" bestFit="1" customWidth="1"/>
    <col min="5211" max="5211" width="24.625" customWidth="1"/>
    <col min="5212" max="5212" width="27.375" bestFit="1" customWidth="1"/>
    <col min="5213" max="5213" width="23.875" bestFit="1" customWidth="1"/>
    <col min="5214" max="5214" width="17.625" customWidth="1"/>
    <col min="5215" max="5215" width="18.125" customWidth="1"/>
    <col min="5216" max="5217" width="29.125" bestFit="1" customWidth="1"/>
    <col min="5218" max="5218" width="33.375" bestFit="1" customWidth="1"/>
    <col min="5219" max="5219" width="32.375" bestFit="1" customWidth="1"/>
    <col min="5220" max="5221" width="28.875" bestFit="1" customWidth="1"/>
    <col min="5222" max="5222" width="33.125" bestFit="1" customWidth="1"/>
    <col min="5223" max="5223" width="29.125" bestFit="1" customWidth="1"/>
    <col min="5224" max="5225" width="25.375" bestFit="1" customWidth="1"/>
    <col min="5226" max="5226" width="29.875" customWidth="1"/>
    <col min="5227" max="5227" width="16.375" bestFit="1" customWidth="1"/>
    <col min="5228" max="5228" width="19.375" bestFit="1" customWidth="1"/>
    <col min="5229" max="5229" width="27.625" bestFit="1" customWidth="1"/>
    <col min="5230" max="5230" width="10.375" bestFit="1" customWidth="1"/>
    <col min="5231" max="5231" width="18.875" bestFit="1" customWidth="1"/>
    <col min="5232" max="5232" width="24.625" customWidth="1"/>
    <col min="5233" max="5233" width="17.625" bestFit="1" customWidth="1"/>
    <col min="5234" max="5234" width="24.875" bestFit="1" customWidth="1"/>
    <col min="5235" max="5235" width="21.875" bestFit="1" customWidth="1"/>
    <col min="5236" max="5236" width="12.125" bestFit="1" customWidth="1"/>
    <col min="5237" max="5237" width="17.375" bestFit="1" customWidth="1"/>
    <col min="5238" max="5238" width="13.375" bestFit="1" customWidth="1"/>
    <col min="5239" max="5239" width="17.375" bestFit="1" customWidth="1"/>
    <col min="5240" max="5247" width="8.625" bestFit="1" customWidth="1"/>
    <col min="5248" max="5248" width="10.125" bestFit="1" customWidth="1"/>
    <col min="5249" max="5252" width="8.625" bestFit="1" customWidth="1"/>
    <col min="5253" max="5253" width="5.625" bestFit="1" customWidth="1"/>
    <col min="5254" max="5254" width="17.375" bestFit="1" customWidth="1"/>
    <col min="5255" max="5255" width="21.875" bestFit="1" customWidth="1"/>
    <col min="5256" max="5256" width="57.375" bestFit="1" customWidth="1"/>
    <col min="5257" max="5257" width="25.375" bestFit="1" customWidth="1"/>
    <col min="5258" max="5258" width="15.625" customWidth="1"/>
    <col min="5259" max="5259" width="32.125" bestFit="1" customWidth="1"/>
    <col min="5260" max="5260" width="22.625" bestFit="1" customWidth="1"/>
    <col min="5261" max="5261" width="24.875" bestFit="1" customWidth="1"/>
    <col min="5262" max="5262" width="25.625" customWidth="1"/>
    <col min="5263" max="5263" width="31.375" bestFit="1" customWidth="1"/>
    <col min="5264" max="5264" width="24.625" customWidth="1"/>
    <col min="5265" max="5265" width="31.625" bestFit="1" customWidth="1"/>
    <col min="5266" max="5266" width="51.625" bestFit="1" customWidth="1"/>
    <col min="5267" max="5267" width="57.375" bestFit="1" customWidth="1"/>
    <col min="5268" max="5268" width="57.125" bestFit="1" customWidth="1"/>
    <col min="5269" max="5269" width="62.875" bestFit="1" customWidth="1"/>
    <col min="5270" max="5270" width="32.125" bestFit="1" customWidth="1"/>
    <col min="5376" max="5376" width="16.875" bestFit="1" customWidth="1"/>
    <col min="5377" max="5377" width="13.125" bestFit="1" customWidth="1"/>
    <col min="5378" max="5378" width="16.875" bestFit="1" customWidth="1"/>
    <col min="5379" max="5379" width="13.875" bestFit="1" customWidth="1"/>
    <col min="5380" max="5380" width="18.875" bestFit="1" customWidth="1"/>
    <col min="5381" max="5381" width="10.375" bestFit="1" customWidth="1"/>
    <col min="5382" max="5383" width="18.875" bestFit="1" customWidth="1"/>
    <col min="5384" max="5384" width="13.375" customWidth="1"/>
    <col min="5385" max="5386" width="18.875" bestFit="1" customWidth="1"/>
    <col min="5387" max="5387" width="15.125" bestFit="1" customWidth="1"/>
    <col min="5388" max="5388" width="15.375" bestFit="1" customWidth="1"/>
    <col min="5389" max="5389" width="16.625" customWidth="1"/>
    <col min="5390" max="5390" width="13.375" customWidth="1"/>
    <col min="5391" max="5391" width="16.875" bestFit="1" customWidth="1"/>
    <col min="5392" max="5392" width="14.875" bestFit="1" customWidth="1"/>
    <col min="5393" max="5393" width="20.625" bestFit="1" customWidth="1"/>
    <col min="5394" max="5394" width="18.375" bestFit="1" customWidth="1"/>
    <col min="5395" max="5395" width="13.375" bestFit="1" customWidth="1"/>
    <col min="5396" max="5396" width="36.375" customWidth="1"/>
    <col min="5397" max="5397" width="36.375" bestFit="1" customWidth="1"/>
    <col min="5398" max="5398" width="24.625" customWidth="1"/>
    <col min="5399" max="5399" width="36.375" bestFit="1" customWidth="1"/>
    <col min="5400" max="5400" width="21.625" bestFit="1" customWidth="1"/>
    <col min="5401" max="5401" width="21.875" bestFit="1" customWidth="1"/>
    <col min="5402" max="5402" width="21.625" bestFit="1" customWidth="1"/>
    <col min="5403" max="5403" width="13.875" bestFit="1" customWidth="1"/>
    <col min="5404" max="5404" width="10.375" bestFit="1" customWidth="1"/>
    <col min="5405" max="5405" width="18.875" bestFit="1" customWidth="1"/>
    <col min="5406" max="5406" width="10.375" bestFit="1" customWidth="1"/>
    <col min="5407" max="5407" width="98.875" bestFit="1" customWidth="1"/>
    <col min="5408" max="5408" width="17.625" bestFit="1" customWidth="1"/>
    <col min="5409" max="5409" width="26.625" bestFit="1" customWidth="1"/>
    <col min="5410" max="5410" width="23.375" bestFit="1" customWidth="1"/>
    <col min="5411" max="5411" width="15.375" bestFit="1" customWidth="1"/>
    <col min="5412" max="5412" width="202.625" customWidth="1"/>
    <col min="5413" max="5413" width="46.625" bestFit="1" customWidth="1"/>
    <col min="5414" max="5414" width="26.125" bestFit="1" customWidth="1"/>
    <col min="5415" max="5415" width="18.875" bestFit="1" customWidth="1"/>
    <col min="5416" max="5416" width="42.125" bestFit="1" customWidth="1"/>
    <col min="5417" max="5418" width="18.875" bestFit="1" customWidth="1"/>
    <col min="5419" max="5419" width="22.375" bestFit="1" customWidth="1"/>
    <col min="5420" max="5420" width="17.625" bestFit="1" customWidth="1"/>
    <col min="5421" max="5421" width="17.375" bestFit="1" customWidth="1"/>
    <col min="5422" max="5422" width="15.125" bestFit="1" customWidth="1"/>
    <col min="5423" max="5423" width="27.875" bestFit="1" customWidth="1"/>
    <col min="5424" max="5424" width="31.375" bestFit="1" customWidth="1"/>
    <col min="5425" max="5425" width="14.125" bestFit="1" customWidth="1"/>
    <col min="5426" max="5426" width="10.625" customWidth="1"/>
    <col min="5427" max="5428" width="20.625" customWidth="1"/>
    <col min="5429" max="5429" width="19.375" bestFit="1" customWidth="1"/>
    <col min="5430" max="5430" width="21.875" bestFit="1" customWidth="1"/>
    <col min="5431" max="5431" width="25.625" customWidth="1"/>
    <col min="5432" max="5432" width="25.875" bestFit="1" customWidth="1"/>
    <col min="5433" max="5433" width="19.625" customWidth="1"/>
    <col min="5434" max="5434" width="35.125" bestFit="1" customWidth="1"/>
    <col min="5435" max="5435" width="27.125" bestFit="1" customWidth="1"/>
    <col min="5436" max="5436" width="36.125" bestFit="1" customWidth="1"/>
    <col min="5437" max="5437" width="27.875" bestFit="1" customWidth="1"/>
    <col min="5438" max="5438" width="19.375" bestFit="1" customWidth="1"/>
    <col min="5439" max="5439" width="17.625" bestFit="1" customWidth="1"/>
    <col min="5440" max="5440" width="30.125" bestFit="1" customWidth="1"/>
    <col min="5441" max="5441" width="25.625" customWidth="1"/>
    <col min="5442" max="5442" width="23.125" bestFit="1" customWidth="1"/>
    <col min="5443" max="5443" width="25.625" customWidth="1"/>
    <col min="5444" max="5444" width="23.125" bestFit="1" customWidth="1"/>
    <col min="5445" max="5445" width="19.625" bestFit="1" customWidth="1"/>
    <col min="5446" max="5446" width="23.125" bestFit="1" customWidth="1"/>
    <col min="5447" max="5447" width="24.625" customWidth="1"/>
    <col min="5448" max="5448" width="23.125" bestFit="1" customWidth="1"/>
    <col min="5449" max="5449" width="19.625" bestFit="1" customWidth="1"/>
    <col min="5450" max="5450" width="17.625" bestFit="1" customWidth="1"/>
    <col min="5451" max="5452" width="21.875" bestFit="1" customWidth="1"/>
    <col min="5453" max="5453" width="25.625" customWidth="1"/>
    <col min="5454" max="5454" width="23.125" bestFit="1" customWidth="1"/>
    <col min="5455" max="5455" width="25.625" customWidth="1"/>
    <col min="5456" max="5456" width="23.125" bestFit="1" customWidth="1"/>
    <col min="5457" max="5457" width="19.625" bestFit="1" customWidth="1"/>
    <col min="5458" max="5458" width="23.125" bestFit="1" customWidth="1"/>
    <col min="5459" max="5459" width="24.625" customWidth="1"/>
    <col min="5460" max="5460" width="23.125" bestFit="1" customWidth="1"/>
    <col min="5461" max="5461" width="19.625" bestFit="1" customWidth="1"/>
    <col min="5462" max="5462" width="27.375" bestFit="1" customWidth="1"/>
    <col min="5463" max="5463" width="25.625" customWidth="1"/>
    <col min="5464" max="5464" width="27.375" bestFit="1" customWidth="1"/>
    <col min="5465" max="5465" width="23.875" bestFit="1" customWidth="1"/>
    <col min="5466" max="5466" width="27.375" bestFit="1" customWidth="1"/>
    <col min="5467" max="5467" width="24.625" customWidth="1"/>
    <col min="5468" max="5468" width="27.375" bestFit="1" customWidth="1"/>
    <col min="5469" max="5469" width="23.875" bestFit="1" customWidth="1"/>
    <col min="5470" max="5470" width="17.625" customWidth="1"/>
    <col min="5471" max="5471" width="18.125" customWidth="1"/>
    <col min="5472" max="5473" width="29.125" bestFit="1" customWidth="1"/>
    <col min="5474" max="5474" width="33.375" bestFit="1" customWidth="1"/>
    <col min="5475" max="5475" width="32.375" bestFit="1" customWidth="1"/>
    <col min="5476" max="5477" width="28.875" bestFit="1" customWidth="1"/>
    <col min="5478" max="5478" width="33.125" bestFit="1" customWidth="1"/>
    <col min="5479" max="5479" width="29.125" bestFit="1" customWidth="1"/>
    <col min="5480" max="5481" width="25.375" bestFit="1" customWidth="1"/>
    <col min="5482" max="5482" width="29.875" customWidth="1"/>
    <col min="5483" max="5483" width="16.375" bestFit="1" customWidth="1"/>
    <col min="5484" max="5484" width="19.375" bestFit="1" customWidth="1"/>
    <col min="5485" max="5485" width="27.625" bestFit="1" customWidth="1"/>
    <col min="5486" max="5486" width="10.375" bestFit="1" customWidth="1"/>
    <col min="5487" max="5487" width="18.875" bestFit="1" customWidth="1"/>
    <col min="5488" max="5488" width="24.625" customWidth="1"/>
    <col min="5489" max="5489" width="17.625" bestFit="1" customWidth="1"/>
    <col min="5490" max="5490" width="24.875" bestFit="1" customWidth="1"/>
    <col min="5491" max="5491" width="21.875" bestFit="1" customWidth="1"/>
    <col min="5492" max="5492" width="12.125" bestFit="1" customWidth="1"/>
    <col min="5493" max="5493" width="17.375" bestFit="1" customWidth="1"/>
    <col min="5494" max="5494" width="13.375" bestFit="1" customWidth="1"/>
    <col min="5495" max="5495" width="17.375" bestFit="1" customWidth="1"/>
    <col min="5496" max="5503" width="8.625" bestFit="1" customWidth="1"/>
    <col min="5504" max="5504" width="10.125" bestFit="1" customWidth="1"/>
    <col min="5505" max="5508" width="8.625" bestFit="1" customWidth="1"/>
    <col min="5509" max="5509" width="5.625" bestFit="1" customWidth="1"/>
    <col min="5510" max="5510" width="17.375" bestFit="1" customWidth="1"/>
    <col min="5511" max="5511" width="21.875" bestFit="1" customWidth="1"/>
    <col min="5512" max="5512" width="57.375" bestFit="1" customWidth="1"/>
    <col min="5513" max="5513" width="25.375" bestFit="1" customWidth="1"/>
    <col min="5514" max="5514" width="15.625" customWidth="1"/>
    <col min="5515" max="5515" width="32.125" bestFit="1" customWidth="1"/>
    <col min="5516" max="5516" width="22.625" bestFit="1" customWidth="1"/>
    <col min="5517" max="5517" width="24.875" bestFit="1" customWidth="1"/>
    <col min="5518" max="5518" width="25.625" customWidth="1"/>
    <col min="5519" max="5519" width="31.375" bestFit="1" customWidth="1"/>
    <col min="5520" max="5520" width="24.625" customWidth="1"/>
    <col min="5521" max="5521" width="31.625" bestFit="1" customWidth="1"/>
    <col min="5522" max="5522" width="51.625" bestFit="1" customWidth="1"/>
    <col min="5523" max="5523" width="57.375" bestFit="1" customWidth="1"/>
    <col min="5524" max="5524" width="57.125" bestFit="1" customWidth="1"/>
    <col min="5525" max="5525" width="62.875" bestFit="1" customWidth="1"/>
    <col min="5526" max="5526" width="32.125" bestFit="1" customWidth="1"/>
    <col min="5632" max="5632" width="16.875" bestFit="1" customWidth="1"/>
    <col min="5633" max="5633" width="13.125" bestFit="1" customWidth="1"/>
    <col min="5634" max="5634" width="16.875" bestFit="1" customWidth="1"/>
    <col min="5635" max="5635" width="13.875" bestFit="1" customWidth="1"/>
    <col min="5636" max="5636" width="18.875" bestFit="1" customWidth="1"/>
    <col min="5637" max="5637" width="10.375" bestFit="1" customWidth="1"/>
    <col min="5638" max="5639" width="18.875" bestFit="1" customWidth="1"/>
    <col min="5640" max="5640" width="13.375" customWidth="1"/>
    <col min="5641" max="5642" width="18.875" bestFit="1" customWidth="1"/>
    <col min="5643" max="5643" width="15.125" bestFit="1" customWidth="1"/>
    <col min="5644" max="5644" width="15.375" bestFit="1" customWidth="1"/>
    <col min="5645" max="5645" width="16.625" customWidth="1"/>
    <col min="5646" max="5646" width="13.375" customWidth="1"/>
    <col min="5647" max="5647" width="16.875" bestFit="1" customWidth="1"/>
    <col min="5648" max="5648" width="14.875" bestFit="1" customWidth="1"/>
    <col min="5649" max="5649" width="20.625" bestFit="1" customWidth="1"/>
    <col min="5650" max="5650" width="18.375" bestFit="1" customWidth="1"/>
    <col min="5651" max="5651" width="13.375" bestFit="1" customWidth="1"/>
    <col min="5652" max="5652" width="36.375" customWidth="1"/>
    <col min="5653" max="5653" width="36.375" bestFit="1" customWidth="1"/>
    <col min="5654" max="5654" width="24.625" customWidth="1"/>
    <col min="5655" max="5655" width="36.375" bestFit="1" customWidth="1"/>
    <col min="5656" max="5656" width="21.625" bestFit="1" customWidth="1"/>
    <col min="5657" max="5657" width="21.875" bestFit="1" customWidth="1"/>
    <col min="5658" max="5658" width="21.625" bestFit="1" customWidth="1"/>
    <col min="5659" max="5659" width="13.875" bestFit="1" customWidth="1"/>
    <col min="5660" max="5660" width="10.375" bestFit="1" customWidth="1"/>
    <col min="5661" max="5661" width="18.875" bestFit="1" customWidth="1"/>
    <col min="5662" max="5662" width="10.375" bestFit="1" customWidth="1"/>
    <col min="5663" max="5663" width="98.875" bestFit="1" customWidth="1"/>
    <col min="5664" max="5664" width="17.625" bestFit="1" customWidth="1"/>
    <col min="5665" max="5665" width="26.625" bestFit="1" customWidth="1"/>
    <col min="5666" max="5666" width="23.375" bestFit="1" customWidth="1"/>
    <col min="5667" max="5667" width="15.375" bestFit="1" customWidth="1"/>
    <col min="5668" max="5668" width="202.625" customWidth="1"/>
    <col min="5669" max="5669" width="46.625" bestFit="1" customWidth="1"/>
    <col min="5670" max="5670" width="26.125" bestFit="1" customWidth="1"/>
    <col min="5671" max="5671" width="18.875" bestFit="1" customWidth="1"/>
    <col min="5672" max="5672" width="42.125" bestFit="1" customWidth="1"/>
    <col min="5673" max="5674" width="18.875" bestFit="1" customWidth="1"/>
    <col min="5675" max="5675" width="22.375" bestFit="1" customWidth="1"/>
    <col min="5676" max="5676" width="17.625" bestFit="1" customWidth="1"/>
    <col min="5677" max="5677" width="17.375" bestFit="1" customWidth="1"/>
    <col min="5678" max="5678" width="15.125" bestFit="1" customWidth="1"/>
    <col min="5679" max="5679" width="27.875" bestFit="1" customWidth="1"/>
    <col min="5680" max="5680" width="31.375" bestFit="1" customWidth="1"/>
    <col min="5681" max="5681" width="14.125" bestFit="1" customWidth="1"/>
    <col min="5682" max="5682" width="10.625" customWidth="1"/>
    <col min="5683" max="5684" width="20.625" customWidth="1"/>
    <col min="5685" max="5685" width="19.375" bestFit="1" customWidth="1"/>
    <col min="5686" max="5686" width="21.875" bestFit="1" customWidth="1"/>
    <col min="5687" max="5687" width="25.625" customWidth="1"/>
    <col min="5688" max="5688" width="25.875" bestFit="1" customWidth="1"/>
    <col min="5689" max="5689" width="19.625" customWidth="1"/>
    <col min="5690" max="5690" width="35.125" bestFit="1" customWidth="1"/>
    <col min="5691" max="5691" width="27.125" bestFit="1" customWidth="1"/>
    <col min="5692" max="5692" width="36.125" bestFit="1" customWidth="1"/>
    <col min="5693" max="5693" width="27.875" bestFit="1" customWidth="1"/>
    <col min="5694" max="5694" width="19.375" bestFit="1" customWidth="1"/>
    <col min="5695" max="5695" width="17.625" bestFit="1" customWidth="1"/>
    <col min="5696" max="5696" width="30.125" bestFit="1" customWidth="1"/>
    <col min="5697" max="5697" width="25.625" customWidth="1"/>
    <col min="5698" max="5698" width="23.125" bestFit="1" customWidth="1"/>
    <col min="5699" max="5699" width="25.625" customWidth="1"/>
    <col min="5700" max="5700" width="23.125" bestFit="1" customWidth="1"/>
    <col min="5701" max="5701" width="19.625" bestFit="1" customWidth="1"/>
    <col min="5702" max="5702" width="23.125" bestFit="1" customWidth="1"/>
    <col min="5703" max="5703" width="24.625" customWidth="1"/>
    <col min="5704" max="5704" width="23.125" bestFit="1" customWidth="1"/>
    <col min="5705" max="5705" width="19.625" bestFit="1" customWidth="1"/>
    <col min="5706" max="5706" width="17.625" bestFit="1" customWidth="1"/>
    <col min="5707" max="5708" width="21.875" bestFit="1" customWidth="1"/>
    <col min="5709" max="5709" width="25.625" customWidth="1"/>
    <col min="5710" max="5710" width="23.125" bestFit="1" customWidth="1"/>
    <col min="5711" max="5711" width="25.625" customWidth="1"/>
    <col min="5712" max="5712" width="23.125" bestFit="1" customWidth="1"/>
    <col min="5713" max="5713" width="19.625" bestFit="1" customWidth="1"/>
    <col min="5714" max="5714" width="23.125" bestFit="1" customWidth="1"/>
    <col min="5715" max="5715" width="24.625" customWidth="1"/>
    <col min="5716" max="5716" width="23.125" bestFit="1" customWidth="1"/>
    <col min="5717" max="5717" width="19.625" bestFit="1" customWidth="1"/>
    <col min="5718" max="5718" width="27.375" bestFit="1" customWidth="1"/>
    <col min="5719" max="5719" width="25.625" customWidth="1"/>
    <col min="5720" max="5720" width="27.375" bestFit="1" customWidth="1"/>
    <col min="5721" max="5721" width="23.875" bestFit="1" customWidth="1"/>
    <col min="5722" max="5722" width="27.375" bestFit="1" customWidth="1"/>
    <col min="5723" max="5723" width="24.625" customWidth="1"/>
    <col min="5724" max="5724" width="27.375" bestFit="1" customWidth="1"/>
    <col min="5725" max="5725" width="23.875" bestFit="1" customWidth="1"/>
    <col min="5726" max="5726" width="17.625" customWidth="1"/>
    <col min="5727" max="5727" width="18.125" customWidth="1"/>
    <col min="5728" max="5729" width="29.125" bestFit="1" customWidth="1"/>
    <col min="5730" max="5730" width="33.375" bestFit="1" customWidth="1"/>
    <col min="5731" max="5731" width="32.375" bestFit="1" customWidth="1"/>
    <col min="5732" max="5733" width="28.875" bestFit="1" customWidth="1"/>
    <col min="5734" max="5734" width="33.125" bestFit="1" customWidth="1"/>
    <col min="5735" max="5735" width="29.125" bestFit="1" customWidth="1"/>
    <col min="5736" max="5737" width="25.375" bestFit="1" customWidth="1"/>
    <col min="5738" max="5738" width="29.875" customWidth="1"/>
    <col min="5739" max="5739" width="16.375" bestFit="1" customWidth="1"/>
    <col min="5740" max="5740" width="19.375" bestFit="1" customWidth="1"/>
    <col min="5741" max="5741" width="27.625" bestFit="1" customWidth="1"/>
    <col min="5742" max="5742" width="10.375" bestFit="1" customWidth="1"/>
    <col min="5743" max="5743" width="18.875" bestFit="1" customWidth="1"/>
    <col min="5744" max="5744" width="24.625" customWidth="1"/>
    <col min="5745" max="5745" width="17.625" bestFit="1" customWidth="1"/>
    <col min="5746" max="5746" width="24.875" bestFit="1" customWidth="1"/>
    <col min="5747" max="5747" width="21.875" bestFit="1" customWidth="1"/>
    <col min="5748" max="5748" width="12.125" bestFit="1" customWidth="1"/>
    <col min="5749" max="5749" width="17.375" bestFit="1" customWidth="1"/>
    <col min="5750" max="5750" width="13.375" bestFit="1" customWidth="1"/>
    <col min="5751" max="5751" width="17.375" bestFit="1" customWidth="1"/>
    <col min="5752" max="5759" width="8.625" bestFit="1" customWidth="1"/>
    <col min="5760" max="5760" width="10.125" bestFit="1" customWidth="1"/>
    <col min="5761" max="5764" width="8.625" bestFit="1" customWidth="1"/>
    <col min="5765" max="5765" width="5.625" bestFit="1" customWidth="1"/>
    <col min="5766" max="5766" width="17.375" bestFit="1" customWidth="1"/>
    <col min="5767" max="5767" width="21.875" bestFit="1" customWidth="1"/>
    <col min="5768" max="5768" width="57.375" bestFit="1" customWidth="1"/>
    <col min="5769" max="5769" width="25.375" bestFit="1" customWidth="1"/>
    <col min="5770" max="5770" width="15.625" customWidth="1"/>
    <col min="5771" max="5771" width="32.125" bestFit="1" customWidth="1"/>
    <col min="5772" max="5772" width="22.625" bestFit="1" customWidth="1"/>
    <col min="5773" max="5773" width="24.875" bestFit="1" customWidth="1"/>
    <col min="5774" max="5774" width="25.625" customWidth="1"/>
    <col min="5775" max="5775" width="31.375" bestFit="1" customWidth="1"/>
    <col min="5776" max="5776" width="24.625" customWidth="1"/>
    <col min="5777" max="5777" width="31.625" bestFit="1" customWidth="1"/>
    <col min="5778" max="5778" width="51.625" bestFit="1" customWidth="1"/>
    <col min="5779" max="5779" width="57.375" bestFit="1" customWidth="1"/>
    <col min="5780" max="5780" width="57.125" bestFit="1" customWidth="1"/>
    <col min="5781" max="5781" width="62.875" bestFit="1" customWidth="1"/>
    <col min="5782" max="5782" width="32.125" bestFit="1" customWidth="1"/>
    <col min="5888" max="5888" width="16.875" bestFit="1" customWidth="1"/>
    <col min="5889" max="5889" width="13.125" bestFit="1" customWidth="1"/>
    <col min="5890" max="5890" width="16.875" bestFit="1" customWidth="1"/>
    <col min="5891" max="5891" width="13.875" bestFit="1" customWidth="1"/>
    <col min="5892" max="5892" width="18.875" bestFit="1" customWidth="1"/>
    <col min="5893" max="5893" width="10.375" bestFit="1" customWidth="1"/>
    <col min="5894" max="5895" width="18.875" bestFit="1" customWidth="1"/>
    <col min="5896" max="5896" width="13.375" customWidth="1"/>
    <col min="5897" max="5898" width="18.875" bestFit="1" customWidth="1"/>
    <col min="5899" max="5899" width="15.125" bestFit="1" customWidth="1"/>
    <col min="5900" max="5900" width="15.375" bestFit="1" customWidth="1"/>
    <col min="5901" max="5901" width="16.625" customWidth="1"/>
    <col min="5902" max="5902" width="13.375" customWidth="1"/>
    <col min="5903" max="5903" width="16.875" bestFit="1" customWidth="1"/>
    <col min="5904" max="5904" width="14.875" bestFit="1" customWidth="1"/>
    <col min="5905" max="5905" width="20.625" bestFit="1" customWidth="1"/>
    <col min="5906" max="5906" width="18.375" bestFit="1" customWidth="1"/>
    <col min="5907" max="5907" width="13.375" bestFit="1" customWidth="1"/>
    <col min="5908" max="5908" width="36.375" customWidth="1"/>
    <col min="5909" max="5909" width="36.375" bestFit="1" customWidth="1"/>
    <col min="5910" max="5910" width="24.625" customWidth="1"/>
    <col min="5911" max="5911" width="36.375" bestFit="1" customWidth="1"/>
    <col min="5912" max="5912" width="21.625" bestFit="1" customWidth="1"/>
    <col min="5913" max="5913" width="21.875" bestFit="1" customWidth="1"/>
    <col min="5914" max="5914" width="21.625" bestFit="1" customWidth="1"/>
    <col min="5915" max="5915" width="13.875" bestFit="1" customWidth="1"/>
    <col min="5916" max="5916" width="10.375" bestFit="1" customWidth="1"/>
    <col min="5917" max="5917" width="18.875" bestFit="1" customWidth="1"/>
    <col min="5918" max="5918" width="10.375" bestFit="1" customWidth="1"/>
    <col min="5919" max="5919" width="98.875" bestFit="1" customWidth="1"/>
    <col min="5920" max="5920" width="17.625" bestFit="1" customWidth="1"/>
    <col min="5921" max="5921" width="26.625" bestFit="1" customWidth="1"/>
    <col min="5922" max="5922" width="23.375" bestFit="1" customWidth="1"/>
    <col min="5923" max="5923" width="15.375" bestFit="1" customWidth="1"/>
    <col min="5924" max="5924" width="202.625" customWidth="1"/>
    <col min="5925" max="5925" width="46.625" bestFit="1" customWidth="1"/>
    <col min="5926" max="5926" width="26.125" bestFit="1" customWidth="1"/>
    <col min="5927" max="5927" width="18.875" bestFit="1" customWidth="1"/>
    <col min="5928" max="5928" width="42.125" bestFit="1" customWidth="1"/>
    <col min="5929" max="5930" width="18.875" bestFit="1" customWidth="1"/>
    <col min="5931" max="5931" width="22.375" bestFit="1" customWidth="1"/>
    <col min="5932" max="5932" width="17.625" bestFit="1" customWidth="1"/>
    <col min="5933" max="5933" width="17.375" bestFit="1" customWidth="1"/>
    <col min="5934" max="5934" width="15.125" bestFit="1" customWidth="1"/>
    <col min="5935" max="5935" width="27.875" bestFit="1" customWidth="1"/>
    <col min="5936" max="5936" width="31.375" bestFit="1" customWidth="1"/>
    <col min="5937" max="5937" width="14.125" bestFit="1" customWidth="1"/>
    <col min="5938" max="5938" width="10.625" customWidth="1"/>
    <col min="5939" max="5940" width="20.625" customWidth="1"/>
    <col min="5941" max="5941" width="19.375" bestFit="1" customWidth="1"/>
    <col min="5942" max="5942" width="21.875" bestFit="1" customWidth="1"/>
    <col min="5943" max="5943" width="25.625" customWidth="1"/>
    <col min="5944" max="5944" width="25.875" bestFit="1" customWidth="1"/>
    <col min="5945" max="5945" width="19.625" customWidth="1"/>
    <col min="5946" max="5946" width="35.125" bestFit="1" customWidth="1"/>
    <col min="5947" max="5947" width="27.125" bestFit="1" customWidth="1"/>
    <col min="5948" max="5948" width="36.125" bestFit="1" customWidth="1"/>
    <col min="5949" max="5949" width="27.875" bestFit="1" customWidth="1"/>
    <col min="5950" max="5950" width="19.375" bestFit="1" customWidth="1"/>
    <col min="5951" max="5951" width="17.625" bestFit="1" customWidth="1"/>
    <col min="5952" max="5952" width="30.125" bestFit="1" customWidth="1"/>
    <col min="5953" max="5953" width="25.625" customWidth="1"/>
    <col min="5954" max="5954" width="23.125" bestFit="1" customWidth="1"/>
    <col min="5955" max="5955" width="25.625" customWidth="1"/>
    <col min="5956" max="5956" width="23.125" bestFit="1" customWidth="1"/>
    <col min="5957" max="5957" width="19.625" bestFit="1" customWidth="1"/>
    <col min="5958" max="5958" width="23.125" bestFit="1" customWidth="1"/>
    <col min="5959" max="5959" width="24.625" customWidth="1"/>
    <col min="5960" max="5960" width="23.125" bestFit="1" customWidth="1"/>
    <col min="5961" max="5961" width="19.625" bestFit="1" customWidth="1"/>
    <col min="5962" max="5962" width="17.625" bestFit="1" customWidth="1"/>
    <col min="5963" max="5964" width="21.875" bestFit="1" customWidth="1"/>
    <col min="5965" max="5965" width="25.625" customWidth="1"/>
    <col min="5966" max="5966" width="23.125" bestFit="1" customWidth="1"/>
    <col min="5967" max="5967" width="25.625" customWidth="1"/>
    <col min="5968" max="5968" width="23.125" bestFit="1" customWidth="1"/>
    <col min="5969" max="5969" width="19.625" bestFit="1" customWidth="1"/>
    <col min="5970" max="5970" width="23.125" bestFit="1" customWidth="1"/>
    <col min="5971" max="5971" width="24.625" customWidth="1"/>
    <col min="5972" max="5972" width="23.125" bestFit="1" customWidth="1"/>
    <col min="5973" max="5973" width="19.625" bestFit="1" customWidth="1"/>
    <col min="5974" max="5974" width="27.375" bestFit="1" customWidth="1"/>
    <col min="5975" max="5975" width="25.625" customWidth="1"/>
    <col min="5976" max="5976" width="27.375" bestFit="1" customWidth="1"/>
    <col min="5977" max="5977" width="23.875" bestFit="1" customWidth="1"/>
    <col min="5978" max="5978" width="27.375" bestFit="1" customWidth="1"/>
    <col min="5979" max="5979" width="24.625" customWidth="1"/>
    <col min="5980" max="5980" width="27.375" bestFit="1" customWidth="1"/>
    <col min="5981" max="5981" width="23.875" bestFit="1" customWidth="1"/>
    <col min="5982" max="5982" width="17.625" customWidth="1"/>
    <col min="5983" max="5983" width="18.125" customWidth="1"/>
    <col min="5984" max="5985" width="29.125" bestFit="1" customWidth="1"/>
    <col min="5986" max="5986" width="33.375" bestFit="1" customWidth="1"/>
    <col min="5987" max="5987" width="32.375" bestFit="1" customWidth="1"/>
    <col min="5988" max="5989" width="28.875" bestFit="1" customWidth="1"/>
    <col min="5990" max="5990" width="33.125" bestFit="1" customWidth="1"/>
    <col min="5991" max="5991" width="29.125" bestFit="1" customWidth="1"/>
    <col min="5992" max="5993" width="25.375" bestFit="1" customWidth="1"/>
    <col min="5994" max="5994" width="29.875" customWidth="1"/>
    <col min="5995" max="5995" width="16.375" bestFit="1" customWidth="1"/>
    <col min="5996" max="5996" width="19.375" bestFit="1" customWidth="1"/>
    <col min="5997" max="5997" width="27.625" bestFit="1" customWidth="1"/>
    <col min="5998" max="5998" width="10.375" bestFit="1" customWidth="1"/>
    <col min="5999" max="5999" width="18.875" bestFit="1" customWidth="1"/>
    <col min="6000" max="6000" width="24.625" customWidth="1"/>
    <col min="6001" max="6001" width="17.625" bestFit="1" customWidth="1"/>
    <col min="6002" max="6002" width="24.875" bestFit="1" customWidth="1"/>
    <col min="6003" max="6003" width="21.875" bestFit="1" customWidth="1"/>
    <col min="6004" max="6004" width="12.125" bestFit="1" customWidth="1"/>
    <col min="6005" max="6005" width="17.375" bestFit="1" customWidth="1"/>
    <col min="6006" max="6006" width="13.375" bestFit="1" customWidth="1"/>
    <col min="6007" max="6007" width="17.375" bestFit="1" customWidth="1"/>
    <col min="6008" max="6015" width="8.625" bestFit="1" customWidth="1"/>
    <col min="6016" max="6016" width="10.125" bestFit="1" customWidth="1"/>
    <col min="6017" max="6020" width="8.625" bestFit="1" customWidth="1"/>
    <col min="6021" max="6021" width="5.625" bestFit="1" customWidth="1"/>
    <col min="6022" max="6022" width="17.375" bestFit="1" customWidth="1"/>
    <col min="6023" max="6023" width="21.875" bestFit="1" customWidth="1"/>
    <col min="6024" max="6024" width="57.375" bestFit="1" customWidth="1"/>
    <col min="6025" max="6025" width="25.375" bestFit="1" customWidth="1"/>
    <col min="6026" max="6026" width="15.625" customWidth="1"/>
    <col min="6027" max="6027" width="32.125" bestFit="1" customWidth="1"/>
    <col min="6028" max="6028" width="22.625" bestFit="1" customWidth="1"/>
    <col min="6029" max="6029" width="24.875" bestFit="1" customWidth="1"/>
    <col min="6030" max="6030" width="25.625" customWidth="1"/>
    <col min="6031" max="6031" width="31.375" bestFit="1" customWidth="1"/>
    <col min="6032" max="6032" width="24.625" customWidth="1"/>
    <col min="6033" max="6033" width="31.625" bestFit="1" customWidth="1"/>
    <col min="6034" max="6034" width="51.625" bestFit="1" customWidth="1"/>
    <col min="6035" max="6035" width="57.375" bestFit="1" customWidth="1"/>
    <col min="6036" max="6036" width="57.125" bestFit="1" customWidth="1"/>
    <col min="6037" max="6037" width="62.875" bestFit="1" customWidth="1"/>
    <col min="6038" max="6038" width="32.125" bestFit="1" customWidth="1"/>
    <col min="6144" max="6144" width="16.875" bestFit="1" customWidth="1"/>
    <col min="6145" max="6145" width="13.125" bestFit="1" customWidth="1"/>
    <col min="6146" max="6146" width="16.875" bestFit="1" customWidth="1"/>
    <col min="6147" max="6147" width="13.875" bestFit="1" customWidth="1"/>
    <col min="6148" max="6148" width="18.875" bestFit="1" customWidth="1"/>
    <col min="6149" max="6149" width="10.375" bestFit="1" customWidth="1"/>
    <col min="6150" max="6151" width="18.875" bestFit="1" customWidth="1"/>
    <col min="6152" max="6152" width="13.375" customWidth="1"/>
    <col min="6153" max="6154" width="18.875" bestFit="1" customWidth="1"/>
    <col min="6155" max="6155" width="15.125" bestFit="1" customWidth="1"/>
    <col min="6156" max="6156" width="15.375" bestFit="1" customWidth="1"/>
    <col min="6157" max="6157" width="16.625" customWidth="1"/>
    <col min="6158" max="6158" width="13.375" customWidth="1"/>
    <col min="6159" max="6159" width="16.875" bestFit="1" customWidth="1"/>
    <col min="6160" max="6160" width="14.875" bestFit="1" customWidth="1"/>
    <col min="6161" max="6161" width="20.625" bestFit="1" customWidth="1"/>
    <col min="6162" max="6162" width="18.375" bestFit="1" customWidth="1"/>
    <col min="6163" max="6163" width="13.375" bestFit="1" customWidth="1"/>
    <col min="6164" max="6164" width="36.375" customWidth="1"/>
    <col min="6165" max="6165" width="36.375" bestFit="1" customWidth="1"/>
    <col min="6166" max="6166" width="24.625" customWidth="1"/>
    <col min="6167" max="6167" width="36.375" bestFit="1" customWidth="1"/>
    <col min="6168" max="6168" width="21.625" bestFit="1" customWidth="1"/>
    <col min="6169" max="6169" width="21.875" bestFit="1" customWidth="1"/>
    <col min="6170" max="6170" width="21.625" bestFit="1" customWidth="1"/>
    <col min="6171" max="6171" width="13.875" bestFit="1" customWidth="1"/>
    <col min="6172" max="6172" width="10.375" bestFit="1" customWidth="1"/>
    <col min="6173" max="6173" width="18.875" bestFit="1" customWidth="1"/>
    <col min="6174" max="6174" width="10.375" bestFit="1" customWidth="1"/>
    <col min="6175" max="6175" width="98.875" bestFit="1" customWidth="1"/>
    <col min="6176" max="6176" width="17.625" bestFit="1" customWidth="1"/>
    <col min="6177" max="6177" width="26.625" bestFit="1" customWidth="1"/>
    <col min="6178" max="6178" width="23.375" bestFit="1" customWidth="1"/>
    <col min="6179" max="6179" width="15.375" bestFit="1" customWidth="1"/>
    <col min="6180" max="6180" width="202.625" customWidth="1"/>
    <col min="6181" max="6181" width="46.625" bestFit="1" customWidth="1"/>
    <col min="6182" max="6182" width="26.125" bestFit="1" customWidth="1"/>
    <col min="6183" max="6183" width="18.875" bestFit="1" customWidth="1"/>
    <col min="6184" max="6184" width="42.125" bestFit="1" customWidth="1"/>
    <col min="6185" max="6186" width="18.875" bestFit="1" customWidth="1"/>
    <col min="6187" max="6187" width="22.375" bestFit="1" customWidth="1"/>
    <col min="6188" max="6188" width="17.625" bestFit="1" customWidth="1"/>
    <col min="6189" max="6189" width="17.375" bestFit="1" customWidth="1"/>
    <col min="6190" max="6190" width="15.125" bestFit="1" customWidth="1"/>
    <col min="6191" max="6191" width="27.875" bestFit="1" customWidth="1"/>
    <col min="6192" max="6192" width="31.375" bestFit="1" customWidth="1"/>
    <col min="6193" max="6193" width="14.125" bestFit="1" customWidth="1"/>
    <col min="6194" max="6194" width="10.625" customWidth="1"/>
    <col min="6195" max="6196" width="20.625" customWidth="1"/>
    <col min="6197" max="6197" width="19.375" bestFit="1" customWidth="1"/>
    <col min="6198" max="6198" width="21.875" bestFit="1" customWidth="1"/>
    <col min="6199" max="6199" width="25.625" customWidth="1"/>
    <col min="6200" max="6200" width="25.875" bestFit="1" customWidth="1"/>
    <col min="6201" max="6201" width="19.625" customWidth="1"/>
    <col min="6202" max="6202" width="35.125" bestFit="1" customWidth="1"/>
    <col min="6203" max="6203" width="27.125" bestFit="1" customWidth="1"/>
    <col min="6204" max="6204" width="36.125" bestFit="1" customWidth="1"/>
    <col min="6205" max="6205" width="27.875" bestFit="1" customWidth="1"/>
    <col min="6206" max="6206" width="19.375" bestFit="1" customWidth="1"/>
    <col min="6207" max="6207" width="17.625" bestFit="1" customWidth="1"/>
    <col min="6208" max="6208" width="30.125" bestFit="1" customWidth="1"/>
    <col min="6209" max="6209" width="25.625" customWidth="1"/>
    <col min="6210" max="6210" width="23.125" bestFit="1" customWidth="1"/>
    <col min="6211" max="6211" width="25.625" customWidth="1"/>
    <col min="6212" max="6212" width="23.125" bestFit="1" customWidth="1"/>
    <col min="6213" max="6213" width="19.625" bestFit="1" customWidth="1"/>
    <col min="6214" max="6214" width="23.125" bestFit="1" customWidth="1"/>
    <col min="6215" max="6215" width="24.625" customWidth="1"/>
    <col min="6216" max="6216" width="23.125" bestFit="1" customWidth="1"/>
    <col min="6217" max="6217" width="19.625" bestFit="1" customWidth="1"/>
    <col min="6218" max="6218" width="17.625" bestFit="1" customWidth="1"/>
    <col min="6219" max="6220" width="21.875" bestFit="1" customWidth="1"/>
    <col min="6221" max="6221" width="25.625" customWidth="1"/>
    <col min="6222" max="6222" width="23.125" bestFit="1" customWidth="1"/>
    <col min="6223" max="6223" width="25.625" customWidth="1"/>
    <col min="6224" max="6224" width="23.125" bestFit="1" customWidth="1"/>
    <col min="6225" max="6225" width="19.625" bestFit="1" customWidth="1"/>
    <col min="6226" max="6226" width="23.125" bestFit="1" customWidth="1"/>
    <col min="6227" max="6227" width="24.625" customWidth="1"/>
    <col min="6228" max="6228" width="23.125" bestFit="1" customWidth="1"/>
    <col min="6229" max="6229" width="19.625" bestFit="1" customWidth="1"/>
    <col min="6230" max="6230" width="27.375" bestFit="1" customWidth="1"/>
    <col min="6231" max="6231" width="25.625" customWidth="1"/>
    <col min="6232" max="6232" width="27.375" bestFit="1" customWidth="1"/>
    <col min="6233" max="6233" width="23.875" bestFit="1" customWidth="1"/>
    <col min="6234" max="6234" width="27.375" bestFit="1" customWidth="1"/>
    <col min="6235" max="6235" width="24.625" customWidth="1"/>
    <col min="6236" max="6236" width="27.375" bestFit="1" customWidth="1"/>
    <col min="6237" max="6237" width="23.875" bestFit="1" customWidth="1"/>
    <col min="6238" max="6238" width="17.625" customWidth="1"/>
    <col min="6239" max="6239" width="18.125" customWidth="1"/>
    <col min="6240" max="6241" width="29.125" bestFit="1" customWidth="1"/>
    <col min="6242" max="6242" width="33.375" bestFit="1" customWidth="1"/>
    <col min="6243" max="6243" width="32.375" bestFit="1" customWidth="1"/>
    <col min="6244" max="6245" width="28.875" bestFit="1" customWidth="1"/>
    <col min="6246" max="6246" width="33.125" bestFit="1" customWidth="1"/>
    <col min="6247" max="6247" width="29.125" bestFit="1" customWidth="1"/>
    <col min="6248" max="6249" width="25.375" bestFit="1" customWidth="1"/>
    <col min="6250" max="6250" width="29.875" customWidth="1"/>
    <col min="6251" max="6251" width="16.375" bestFit="1" customWidth="1"/>
    <col min="6252" max="6252" width="19.375" bestFit="1" customWidth="1"/>
    <col min="6253" max="6253" width="27.625" bestFit="1" customWidth="1"/>
    <col min="6254" max="6254" width="10.375" bestFit="1" customWidth="1"/>
    <col min="6255" max="6255" width="18.875" bestFit="1" customWidth="1"/>
    <col min="6256" max="6256" width="24.625" customWidth="1"/>
    <col min="6257" max="6257" width="17.625" bestFit="1" customWidth="1"/>
    <col min="6258" max="6258" width="24.875" bestFit="1" customWidth="1"/>
    <col min="6259" max="6259" width="21.875" bestFit="1" customWidth="1"/>
    <col min="6260" max="6260" width="12.125" bestFit="1" customWidth="1"/>
    <col min="6261" max="6261" width="17.375" bestFit="1" customWidth="1"/>
    <col min="6262" max="6262" width="13.375" bestFit="1" customWidth="1"/>
    <col min="6263" max="6263" width="17.375" bestFit="1" customWidth="1"/>
    <col min="6264" max="6271" width="8.625" bestFit="1" customWidth="1"/>
    <col min="6272" max="6272" width="10.125" bestFit="1" customWidth="1"/>
    <col min="6273" max="6276" width="8.625" bestFit="1" customWidth="1"/>
    <col min="6277" max="6277" width="5.625" bestFit="1" customWidth="1"/>
    <col min="6278" max="6278" width="17.375" bestFit="1" customWidth="1"/>
    <col min="6279" max="6279" width="21.875" bestFit="1" customWidth="1"/>
    <col min="6280" max="6280" width="57.375" bestFit="1" customWidth="1"/>
    <col min="6281" max="6281" width="25.375" bestFit="1" customWidth="1"/>
    <col min="6282" max="6282" width="15.625" customWidth="1"/>
    <col min="6283" max="6283" width="32.125" bestFit="1" customWidth="1"/>
    <col min="6284" max="6284" width="22.625" bestFit="1" customWidth="1"/>
    <col min="6285" max="6285" width="24.875" bestFit="1" customWidth="1"/>
    <col min="6286" max="6286" width="25.625" customWidth="1"/>
    <col min="6287" max="6287" width="31.375" bestFit="1" customWidth="1"/>
    <col min="6288" max="6288" width="24.625" customWidth="1"/>
    <col min="6289" max="6289" width="31.625" bestFit="1" customWidth="1"/>
    <col min="6290" max="6290" width="51.625" bestFit="1" customWidth="1"/>
    <col min="6291" max="6291" width="57.375" bestFit="1" customWidth="1"/>
    <col min="6292" max="6292" width="57.125" bestFit="1" customWidth="1"/>
    <col min="6293" max="6293" width="62.875" bestFit="1" customWidth="1"/>
    <col min="6294" max="6294" width="32.125" bestFit="1" customWidth="1"/>
    <col min="6400" max="6400" width="16.875" bestFit="1" customWidth="1"/>
    <col min="6401" max="6401" width="13.125" bestFit="1" customWidth="1"/>
    <col min="6402" max="6402" width="16.875" bestFit="1" customWidth="1"/>
    <col min="6403" max="6403" width="13.875" bestFit="1" customWidth="1"/>
    <col min="6404" max="6404" width="18.875" bestFit="1" customWidth="1"/>
    <col min="6405" max="6405" width="10.375" bestFit="1" customWidth="1"/>
    <col min="6406" max="6407" width="18.875" bestFit="1" customWidth="1"/>
    <col min="6408" max="6408" width="13.375" customWidth="1"/>
    <col min="6409" max="6410" width="18.875" bestFit="1" customWidth="1"/>
    <col min="6411" max="6411" width="15.125" bestFit="1" customWidth="1"/>
    <col min="6412" max="6412" width="15.375" bestFit="1" customWidth="1"/>
    <col min="6413" max="6413" width="16.625" customWidth="1"/>
    <col min="6414" max="6414" width="13.375" customWidth="1"/>
    <col min="6415" max="6415" width="16.875" bestFit="1" customWidth="1"/>
    <col min="6416" max="6416" width="14.875" bestFit="1" customWidth="1"/>
    <col min="6417" max="6417" width="20.625" bestFit="1" customWidth="1"/>
    <col min="6418" max="6418" width="18.375" bestFit="1" customWidth="1"/>
    <col min="6419" max="6419" width="13.375" bestFit="1" customWidth="1"/>
    <col min="6420" max="6420" width="36.375" customWidth="1"/>
    <col min="6421" max="6421" width="36.375" bestFit="1" customWidth="1"/>
    <col min="6422" max="6422" width="24.625" customWidth="1"/>
    <col min="6423" max="6423" width="36.375" bestFit="1" customWidth="1"/>
    <col min="6424" max="6424" width="21.625" bestFit="1" customWidth="1"/>
    <col min="6425" max="6425" width="21.875" bestFit="1" customWidth="1"/>
    <col min="6426" max="6426" width="21.625" bestFit="1" customWidth="1"/>
    <col min="6427" max="6427" width="13.875" bestFit="1" customWidth="1"/>
    <col min="6428" max="6428" width="10.375" bestFit="1" customWidth="1"/>
    <col min="6429" max="6429" width="18.875" bestFit="1" customWidth="1"/>
    <col min="6430" max="6430" width="10.375" bestFit="1" customWidth="1"/>
    <col min="6431" max="6431" width="98.875" bestFit="1" customWidth="1"/>
    <col min="6432" max="6432" width="17.625" bestFit="1" customWidth="1"/>
    <col min="6433" max="6433" width="26.625" bestFit="1" customWidth="1"/>
    <col min="6434" max="6434" width="23.375" bestFit="1" customWidth="1"/>
    <col min="6435" max="6435" width="15.375" bestFit="1" customWidth="1"/>
    <col min="6436" max="6436" width="202.625" customWidth="1"/>
    <col min="6437" max="6437" width="46.625" bestFit="1" customWidth="1"/>
    <col min="6438" max="6438" width="26.125" bestFit="1" customWidth="1"/>
    <col min="6439" max="6439" width="18.875" bestFit="1" customWidth="1"/>
    <col min="6440" max="6440" width="42.125" bestFit="1" customWidth="1"/>
    <col min="6441" max="6442" width="18.875" bestFit="1" customWidth="1"/>
    <col min="6443" max="6443" width="22.375" bestFit="1" customWidth="1"/>
    <col min="6444" max="6444" width="17.625" bestFit="1" customWidth="1"/>
    <col min="6445" max="6445" width="17.375" bestFit="1" customWidth="1"/>
    <col min="6446" max="6446" width="15.125" bestFit="1" customWidth="1"/>
    <col min="6447" max="6447" width="27.875" bestFit="1" customWidth="1"/>
    <col min="6448" max="6448" width="31.375" bestFit="1" customWidth="1"/>
    <col min="6449" max="6449" width="14.125" bestFit="1" customWidth="1"/>
    <col min="6450" max="6450" width="10.625" customWidth="1"/>
    <col min="6451" max="6452" width="20.625" customWidth="1"/>
    <col min="6453" max="6453" width="19.375" bestFit="1" customWidth="1"/>
    <col min="6454" max="6454" width="21.875" bestFit="1" customWidth="1"/>
    <col min="6455" max="6455" width="25.625" customWidth="1"/>
    <col min="6456" max="6456" width="25.875" bestFit="1" customWidth="1"/>
    <col min="6457" max="6457" width="19.625" customWidth="1"/>
    <col min="6458" max="6458" width="35.125" bestFit="1" customWidth="1"/>
    <col min="6459" max="6459" width="27.125" bestFit="1" customWidth="1"/>
    <col min="6460" max="6460" width="36.125" bestFit="1" customWidth="1"/>
    <col min="6461" max="6461" width="27.875" bestFit="1" customWidth="1"/>
    <col min="6462" max="6462" width="19.375" bestFit="1" customWidth="1"/>
    <col min="6463" max="6463" width="17.625" bestFit="1" customWidth="1"/>
    <col min="6464" max="6464" width="30.125" bestFit="1" customWidth="1"/>
    <col min="6465" max="6465" width="25.625" customWidth="1"/>
    <col min="6466" max="6466" width="23.125" bestFit="1" customWidth="1"/>
    <col min="6467" max="6467" width="25.625" customWidth="1"/>
    <col min="6468" max="6468" width="23.125" bestFit="1" customWidth="1"/>
    <col min="6469" max="6469" width="19.625" bestFit="1" customWidth="1"/>
    <col min="6470" max="6470" width="23.125" bestFit="1" customWidth="1"/>
    <col min="6471" max="6471" width="24.625" customWidth="1"/>
    <col min="6472" max="6472" width="23.125" bestFit="1" customWidth="1"/>
    <col min="6473" max="6473" width="19.625" bestFit="1" customWidth="1"/>
    <col min="6474" max="6474" width="17.625" bestFit="1" customWidth="1"/>
    <col min="6475" max="6476" width="21.875" bestFit="1" customWidth="1"/>
    <col min="6477" max="6477" width="25.625" customWidth="1"/>
    <col min="6478" max="6478" width="23.125" bestFit="1" customWidth="1"/>
    <col min="6479" max="6479" width="25.625" customWidth="1"/>
    <col min="6480" max="6480" width="23.125" bestFit="1" customWidth="1"/>
    <col min="6481" max="6481" width="19.625" bestFit="1" customWidth="1"/>
    <col min="6482" max="6482" width="23.125" bestFit="1" customWidth="1"/>
    <col min="6483" max="6483" width="24.625" customWidth="1"/>
    <col min="6484" max="6484" width="23.125" bestFit="1" customWidth="1"/>
    <col min="6485" max="6485" width="19.625" bestFit="1" customWidth="1"/>
    <col min="6486" max="6486" width="27.375" bestFit="1" customWidth="1"/>
    <col min="6487" max="6487" width="25.625" customWidth="1"/>
    <col min="6488" max="6488" width="27.375" bestFit="1" customWidth="1"/>
    <col min="6489" max="6489" width="23.875" bestFit="1" customWidth="1"/>
    <col min="6490" max="6490" width="27.375" bestFit="1" customWidth="1"/>
    <col min="6491" max="6491" width="24.625" customWidth="1"/>
    <col min="6492" max="6492" width="27.375" bestFit="1" customWidth="1"/>
    <col min="6493" max="6493" width="23.875" bestFit="1" customWidth="1"/>
    <col min="6494" max="6494" width="17.625" customWidth="1"/>
    <col min="6495" max="6495" width="18.125" customWidth="1"/>
    <col min="6496" max="6497" width="29.125" bestFit="1" customWidth="1"/>
    <col min="6498" max="6498" width="33.375" bestFit="1" customWidth="1"/>
    <col min="6499" max="6499" width="32.375" bestFit="1" customWidth="1"/>
    <col min="6500" max="6501" width="28.875" bestFit="1" customWidth="1"/>
    <col min="6502" max="6502" width="33.125" bestFit="1" customWidth="1"/>
    <col min="6503" max="6503" width="29.125" bestFit="1" customWidth="1"/>
    <col min="6504" max="6505" width="25.375" bestFit="1" customWidth="1"/>
    <col min="6506" max="6506" width="29.875" customWidth="1"/>
    <col min="6507" max="6507" width="16.375" bestFit="1" customWidth="1"/>
    <col min="6508" max="6508" width="19.375" bestFit="1" customWidth="1"/>
    <col min="6509" max="6509" width="27.625" bestFit="1" customWidth="1"/>
    <col min="6510" max="6510" width="10.375" bestFit="1" customWidth="1"/>
    <col min="6511" max="6511" width="18.875" bestFit="1" customWidth="1"/>
    <col min="6512" max="6512" width="24.625" customWidth="1"/>
    <col min="6513" max="6513" width="17.625" bestFit="1" customWidth="1"/>
    <col min="6514" max="6514" width="24.875" bestFit="1" customWidth="1"/>
    <col min="6515" max="6515" width="21.875" bestFit="1" customWidth="1"/>
    <col min="6516" max="6516" width="12.125" bestFit="1" customWidth="1"/>
    <col min="6517" max="6517" width="17.375" bestFit="1" customWidth="1"/>
    <col min="6518" max="6518" width="13.375" bestFit="1" customWidth="1"/>
    <col min="6519" max="6519" width="17.375" bestFit="1" customWidth="1"/>
    <col min="6520" max="6527" width="8.625" bestFit="1" customWidth="1"/>
    <col min="6528" max="6528" width="10.125" bestFit="1" customWidth="1"/>
    <col min="6529" max="6532" width="8.625" bestFit="1" customWidth="1"/>
    <col min="6533" max="6533" width="5.625" bestFit="1" customWidth="1"/>
    <col min="6534" max="6534" width="17.375" bestFit="1" customWidth="1"/>
    <col min="6535" max="6535" width="21.875" bestFit="1" customWidth="1"/>
    <col min="6536" max="6536" width="57.375" bestFit="1" customWidth="1"/>
    <col min="6537" max="6537" width="25.375" bestFit="1" customWidth="1"/>
    <col min="6538" max="6538" width="15.625" customWidth="1"/>
    <col min="6539" max="6539" width="32.125" bestFit="1" customWidth="1"/>
    <col min="6540" max="6540" width="22.625" bestFit="1" customWidth="1"/>
    <col min="6541" max="6541" width="24.875" bestFit="1" customWidth="1"/>
    <col min="6542" max="6542" width="25.625" customWidth="1"/>
    <col min="6543" max="6543" width="31.375" bestFit="1" customWidth="1"/>
    <col min="6544" max="6544" width="24.625" customWidth="1"/>
    <col min="6545" max="6545" width="31.625" bestFit="1" customWidth="1"/>
    <col min="6546" max="6546" width="51.625" bestFit="1" customWidth="1"/>
    <col min="6547" max="6547" width="57.375" bestFit="1" customWidth="1"/>
    <col min="6548" max="6548" width="57.125" bestFit="1" customWidth="1"/>
    <col min="6549" max="6549" width="62.875" bestFit="1" customWidth="1"/>
    <col min="6550" max="6550" width="32.125" bestFit="1" customWidth="1"/>
    <col min="6656" max="6656" width="16.875" bestFit="1" customWidth="1"/>
    <col min="6657" max="6657" width="13.125" bestFit="1" customWidth="1"/>
    <col min="6658" max="6658" width="16.875" bestFit="1" customWidth="1"/>
    <col min="6659" max="6659" width="13.875" bestFit="1" customWidth="1"/>
    <col min="6660" max="6660" width="18.875" bestFit="1" customWidth="1"/>
    <col min="6661" max="6661" width="10.375" bestFit="1" customWidth="1"/>
    <col min="6662" max="6663" width="18.875" bestFit="1" customWidth="1"/>
    <col min="6664" max="6664" width="13.375" customWidth="1"/>
    <col min="6665" max="6666" width="18.875" bestFit="1" customWidth="1"/>
    <col min="6667" max="6667" width="15.125" bestFit="1" customWidth="1"/>
    <col min="6668" max="6668" width="15.375" bestFit="1" customWidth="1"/>
    <col min="6669" max="6669" width="16.625" customWidth="1"/>
    <col min="6670" max="6670" width="13.375" customWidth="1"/>
    <col min="6671" max="6671" width="16.875" bestFit="1" customWidth="1"/>
    <col min="6672" max="6672" width="14.875" bestFit="1" customWidth="1"/>
    <col min="6673" max="6673" width="20.625" bestFit="1" customWidth="1"/>
    <col min="6674" max="6674" width="18.375" bestFit="1" customWidth="1"/>
    <col min="6675" max="6675" width="13.375" bestFit="1" customWidth="1"/>
    <col min="6676" max="6676" width="36.375" customWidth="1"/>
    <col min="6677" max="6677" width="36.375" bestFit="1" customWidth="1"/>
    <col min="6678" max="6678" width="24.625" customWidth="1"/>
    <col min="6679" max="6679" width="36.375" bestFit="1" customWidth="1"/>
    <col min="6680" max="6680" width="21.625" bestFit="1" customWidth="1"/>
    <col min="6681" max="6681" width="21.875" bestFit="1" customWidth="1"/>
    <col min="6682" max="6682" width="21.625" bestFit="1" customWidth="1"/>
    <col min="6683" max="6683" width="13.875" bestFit="1" customWidth="1"/>
    <col min="6684" max="6684" width="10.375" bestFit="1" customWidth="1"/>
    <col min="6685" max="6685" width="18.875" bestFit="1" customWidth="1"/>
    <col min="6686" max="6686" width="10.375" bestFit="1" customWidth="1"/>
    <col min="6687" max="6687" width="98.875" bestFit="1" customWidth="1"/>
    <col min="6688" max="6688" width="17.625" bestFit="1" customWidth="1"/>
    <col min="6689" max="6689" width="26.625" bestFit="1" customWidth="1"/>
    <col min="6690" max="6690" width="23.375" bestFit="1" customWidth="1"/>
    <col min="6691" max="6691" width="15.375" bestFit="1" customWidth="1"/>
    <col min="6692" max="6692" width="202.625" customWidth="1"/>
    <col min="6693" max="6693" width="46.625" bestFit="1" customWidth="1"/>
    <col min="6694" max="6694" width="26.125" bestFit="1" customWidth="1"/>
    <col min="6695" max="6695" width="18.875" bestFit="1" customWidth="1"/>
    <col min="6696" max="6696" width="42.125" bestFit="1" customWidth="1"/>
    <col min="6697" max="6698" width="18.875" bestFit="1" customWidth="1"/>
    <col min="6699" max="6699" width="22.375" bestFit="1" customWidth="1"/>
    <col min="6700" max="6700" width="17.625" bestFit="1" customWidth="1"/>
    <col min="6701" max="6701" width="17.375" bestFit="1" customWidth="1"/>
    <col min="6702" max="6702" width="15.125" bestFit="1" customWidth="1"/>
    <col min="6703" max="6703" width="27.875" bestFit="1" customWidth="1"/>
    <col min="6704" max="6704" width="31.375" bestFit="1" customWidth="1"/>
    <col min="6705" max="6705" width="14.125" bestFit="1" customWidth="1"/>
    <col min="6706" max="6706" width="10.625" customWidth="1"/>
    <col min="6707" max="6708" width="20.625" customWidth="1"/>
    <col min="6709" max="6709" width="19.375" bestFit="1" customWidth="1"/>
    <col min="6710" max="6710" width="21.875" bestFit="1" customWidth="1"/>
    <col min="6711" max="6711" width="25.625" customWidth="1"/>
    <col min="6712" max="6712" width="25.875" bestFit="1" customWidth="1"/>
    <col min="6713" max="6713" width="19.625" customWidth="1"/>
    <col min="6714" max="6714" width="35.125" bestFit="1" customWidth="1"/>
    <col min="6715" max="6715" width="27.125" bestFit="1" customWidth="1"/>
    <col min="6716" max="6716" width="36.125" bestFit="1" customWidth="1"/>
    <col min="6717" max="6717" width="27.875" bestFit="1" customWidth="1"/>
    <col min="6718" max="6718" width="19.375" bestFit="1" customWidth="1"/>
    <col min="6719" max="6719" width="17.625" bestFit="1" customWidth="1"/>
    <col min="6720" max="6720" width="30.125" bestFit="1" customWidth="1"/>
    <col min="6721" max="6721" width="25.625" customWidth="1"/>
    <col min="6722" max="6722" width="23.125" bestFit="1" customWidth="1"/>
    <col min="6723" max="6723" width="25.625" customWidth="1"/>
    <col min="6724" max="6724" width="23.125" bestFit="1" customWidth="1"/>
    <col min="6725" max="6725" width="19.625" bestFit="1" customWidth="1"/>
    <col min="6726" max="6726" width="23.125" bestFit="1" customWidth="1"/>
    <col min="6727" max="6727" width="24.625" customWidth="1"/>
    <col min="6728" max="6728" width="23.125" bestFit="1" customWidth="1"/>
    <col min="6729" max="6729" width="19.625" bestFit="1" customWidth="1"/>
    <col min="6730" max="6730" width="17.625" bestFit="1" customWidth="1"/>
    <col min="6731" max="6732" width="21.875" bestFit="1" customWidth="1"/>
    <col min="6733" max="6733" width="25.625" customWidth="1"/>
    <col min="6734" max="6734" width="23.125" bestFit="1" customWidth="1"/>
    <col min="6735" max="6735" width="25.625" customWidth="1"/>
    <col min="6736" max="6736" width="23.125" bestFit="1" customWidth="1"/>
    <col min="6737" max="6737" width="19.625" bestFit="1" customWidth="1"/>
    <col min="6738" max="6738" width="23.125" bestFit="1" customWidth="1"/>
    <col min="6739" max="6739" width="24.625" customWidth="1"/>
    <col min="6740" max="6740" width="23.125" bestFit="1" customWidth="1"/>
    <col min="6741" max="6741" width="19.625" bestFit="1" customWidth="1"/>
    <col min="6742" max="6742" width="27.375" bestFit="1" customWidth="1"/>
    <col min="6743" max="6743" width="25.625" customWidth="1"/>
    <col min="6744" max="6744" width="27.375" bestFit="1" customWidth="1"/>
    <col min="6745" max="6745" width="23.875" bestFit="1" customWidth="1"/>
    <col min="6746" max="6746" width="27.375" bestFit="1" customWidth="1"/>
    <col min="6747" max="6747" width="24.625" customWidth="1"/>
    <col min="6748" max="6748" width="27.375" bestFit="1" customWidth="1"/>
    <col min="6749" max="6749" width="23.875" bestFit="1" customWidth="1"/>
    <col min="6750" max="6750" width="17.625" customWidth="1"/>
    <col min="6751" max="6751" width="18.125" customWidth="1"/>
    <col min="6752" max="6753" width="29.125" bestFit="1" customWidth="1"/>
    <col min="6754" max="6754" width="33.375" bestFit="1" customWidth="1"/>
    <col min="6755" max="6755" width="32.375" bestFit="1" customWidth="1"/>
    <col min="6756" max="6757" width="28.875" bestFit="1" customWidth="1"/>
    <col min="6758" max="6758" width="33.125" bestFit="1" customWidth="1"/>
    <col min="6759" max="6759" width="29.125" bestFit="1" customWidth="1"/>
    <col min="6760" max="6761" width="25.375" bestFit="1" customWidth="1"/>
    <col min="6762" max="6762" width="29.875" customWidth="1"/>
    <col min="6763" max="6763" width="16.375" bestFit="1" customWidth="1"/>
    <col min="6764" max="6764" width="19.375" bestFit="1" customWidth="1"/>
    <col min="6765" max="6765" width="27.625" bestFit="1" customWidth="1"/>
    <col min="6766" max="6766" width="10.375" bestFit="1" customWidth="1"/>
    <col min="6767" max="6767" width="18.875" bestFit="1" customWidth="1"/>
    <col min="6768" max="6768" width="24.625" customWidth="1"/>
    <col min="6769" max="6769" width="17.625" bestFit="1" customWidth="1"/>
    <col min="6770" max="6770" width="24.875" bestFit="1" customWidth="1"/>
    <col min="6771" max="6771" width="21.875" bestFit="1" customWidth="1"/>
    <col min="6772" max="6772" width="12.125" bestFit="1" customWidth="1"/>
    <col min="6773" max="6773" width="17.375" bestFit="1" customWidth="1"/>
    <col min="6774" max="6774" width="13.375" bestFit="1" customWidth="1"/>
    <col min="6775" max="6775" width="17.375" bestFit="1" customWidth="1"/>
    <col min="6776" max="6783" width="8.625" bestFit="1" customWidth="1"/>
    <col min="6784" max="6784" width="10.125" bestFit="1" customWidth="1"/>
    <col min="6785" max="6788" width="8.625" bestFit="1" customWidth="1"/>
    <col min="6789" max="6789" width="5.625" bestFit="1" customWidth="1"/>
    <col min="6790" max="6790" width="17.375" bestFit="1" customWidth="1"/>
    <col min="6791" max="6791" width="21.875" bestFit="1" customWidth="1"/>
    <col min="6792" max="6792" width="57.375" bestFit="1" customWidth="1"/>
    <col min="6793" max="6793" width="25.375" bestFit="1" customWidth="1"/>
    <col min="6794" max="6794" width="15.625" customWidth="1"/>
    <col min="6795" max="6795" width="32.125" bestFit="1" customWidth="1"/>
    <col min="6796" max="6796" width="22.625" bestFit="1" customWidth="1"/>
    <col min="6797" max="6797" width="24.875" bestFit="1" customWidth="1"/>
    <col min="6798" max="6798" width="25.625" customWidth="1"/>
    <col min="6799" max="6799" width="31.375" bestFit="1" customWidth="1"/>
    <col min="6800" max="6800" width="24.625" customWidth="1"/>
    <col min="6801" max="6801" width="31.625" bestFit="1" customWidth="1"/>
    <col min="6802" max="6802" width="51.625" bestFit="1" customWidth="1"/>
    <col min="6803" max="6803" width="57.375" bestFit="1" customWidth="1"/>
    <col min="6804" max="6804" width="57.125" bestFit="1" customWidth="1"/>
    <col min="6805" max="6805" width="62.875" bestFit="1" customWidth="1"/>
    <col min="6806" max="6806" width="32.125" bestFit="1" customWidth="1"/>
    <col min="6912" max="6912" width="16.875" bestFit="1" customWidth="1"/>
    <col min="6913" max="6913" width="13.125" bestFit="1" customWidth="1"/>
    <col min="6914" max="6914" width="16.875" bestFit="1" customWidth="1"/>
    <col min="6915" max="6915" width="13.875" bestFit="1" customWidth="1"/>
    <col min="6916" max="6916" width="18.875" bestFit="1" customWidth="1"/>
    <col min="6917" max="6917" width="10.375" bestFit="1" customWidth="1"/>
    <col min="6918" max="6919" width="18.875" bestFit="1" customWidth="1"/>
    <col min="6920" max="6920" width="13.375" customWidth="1"/>
    <col min="6921" max="6922" width="18.875" bestFit="1" customWidth="1"/>
    <col min="6923" max="6923" width="15.125" bestFit="1" customWidth="1"/>
    <col min="6924" max="6924" width="15.375" bestFit="1" customWidth="1"/>
    <col min="6925" max="6925" width="16.625" customWidth="1"/>
    <col min="6926" max="6926" width="13.375" customWidth="1"/>
    <col min="6927" max="6927" width="16.875" bestFit="1" customWidth="1"/>
    <col min="6928" max="6928" width="14.875" bestFit="1" customWidth="1"/>
    <col min="6929" max="6929" width="20.625" bestFit="1" customWidth="1"/>
    <col min="6930" max="6930" width="18.375" bestFit="1" customWidth="1"/>
    <col min="6931" max="6931" width="13.375" bestFit="1" customWidth="1"/>
    <col min="6932" max="6932" width="36.375" customWidth="1"/>
    <col min="6933" max="6933" width="36.375" bestFit="1" customWidth="1"/>
    <col min="6934" max="6934" width="24.625" customWidth="1"/>
    <col min="6935" max="6935" width="36.375" bestFit="1" customWidth="1"/>
    <col min="6936" max="6936" width="21.625" bestFit="1" customWidth="1"/>
    <col min="6937" max="6937" width="21.875" bestFit="1" customWidth="1"/>
    <col min="6938" max="6938" width="21.625" bestFit="1" customWidth="1"/>
    <col min="6939" max="6939" width="13.875" bestFit="1" customWidth="1"/>
    <col min="6940" max="6940" width="10.375" bestFit="1" customWidth="1"/>
    <col min="6941" max="6941" width="18.875" bestFit="1" customWidth="1"/>
    <col min="6942" max="6942" width="10.375" bestFit="1" customWidth="1"/>
    <col min="6943" max="6943" width="98.875" bestFit="1" customWidth="1"/>
    <col min="6944" max="6944" width="17.625" bestFit="1" customWidth="1"/>
    <col min="6945" max="6945" width="26.625" bestFit="1" customWidth="1"/>
    <col min="6946" max="6946" width="23.375" bestFit="1" customWidth="1"/>
    <col min="6947" max="6947" width="15.375" bestFit="1" customWidth="1"/>
    <col min="6948" max="6948" width="202.625" customWidth="1"/>
    <col min="6949" max="6949" width="46.625" bestFit="1" customWidth="1"/>
    <col min="6950" max="6950" width="26.125" bestFit="1" customWidth="1"/>
    <col min="6951" max="6951" width="18.875" bestFit="1" customWidth="1"/>
    <col min="6952" max="6952" width="42.125" bestFit="1" customWidth="1"/>
    <col min="6953" max="6954" width="18.875" bestFit="1" customWidth="1"/>
    <col min="6955" max="6955" width="22.375" bestFit="1" customWidth="1"/>
    <col min="6956" max="6956" width="17.625" bestFit="1" customWidth="1"/>
    <col min="6957" max="6957" width="17.375" bestFit="1" customWidth="1"/>
    <col min="6958" max="6958" width="15.125" bestFit="1" customWidth="1"/>
    <col min="6959" max="6959" width="27.875" bestFit="1" customWidth="1"/>
    <col min="6960" max="6960" width="31.375" bestFit="1" customWidth="1"/>
    <col min="6961" max="6961" width="14.125" bestFit="1" customWidth="1"/>
    <col min="6962" max="6962" width="10.625" customWidth="1"/>
    <col min="6963" max="6964" width="20.625" customWidth="1"/>
    <col min="6965" max="6965" width="19.375" bestFit="1" customWidth="1"/>
    <col min="6966" max="6966" width="21.875" bestFit="1" customWidth="1"/>
    <col min="6967" max="6967" width="25.625" customWidth="1"/>
    <col min="6968" max="6968" width="25.875" bestFit="1" customWidth="1"/>
    <col min="6969" max="6969" width="19.625" customWidth="1"/>
    <col min="6970" max="6970" width="35.125" bestFit="1" customWidth="1"/>
    <col min="6971" max="6971" width="27.125" bestFit="1" customWidth="1"/>
    <col min="6972" max="6972" width="36.125" bestFit="1" customWidth="1"/>
    <col min="6973" max="6973" width="27.875" bestFit="1" customWidth="1"/>
    <col min="6974" max="6974" width="19.375" bestFit="1" customWidth="1"/>
    <col min="6975" max="6975" width="17.625" bestFit="1" customWidth="1"/>
    <col min="6976" max="6976" width="30.125" bestFit="1" customWidth="1"/>
    <col min="6977" max="6977" width="25.625" customWidth="1"/>
    <col min="6978" max="6978" width="23.125" bestFit="1" customWidth="1"/>
    <col min="6979" max="6979" width="25.625" customWidth="1"/>
    <col min="6980" max="6980" width="23.125" bestFit="1" customWidth="1"/>
    <col min="6981" max="6981" width="19.625" bestFit="1" customWidth="1"/>
    <col min="6982" max="6982" width="23.125" bestFit="1" customWidth="1"/>
    <col min="6983" max="6983" width="24.625" customWidth="1"/>
    <col min="6984" max="6984" width="23.125" bestFit="1" customWidth="1"/>
    <col min="6985" max="6985" width="19.625" bestFit="1" customWidth="1"/>
    <col min="6986" max="6986" width="17.625" bestFit="1" customWidth="1"/>
    <col min="6987" max="6988" width="21.875" bestFit="1" customWidth="1"/>
    <col min="6989" max="6989" width="25.625" customWidth="1"/>
    <col min="6990" max="6990" width="23.125" bestFit="1" customWidth="1"/>
    <col min="6991" max="6991" width="25.625" customWidth="1"/>
    <col min="6992" max="6992" width="23.125" bestFit="1" customWidth="1"/>
    <col min="6993" max="6993" width="19.625" bestFit="1" customWidth="1"/>
    <col min="6994" max="6994" width="23.125" bestFit="1" customWidth="1"/>
    <col min="6995" max="6995" width="24.625" customWidth="1"/>
    <col min="6996" max="6996" width="23.125" bestFit="1" customWidth="1"/>
    <col min="6997" max="6997" width="19.625" bestFit="1" customWidth="1"/>
    <col min="6998" max="6998" width="27.375" bestFit="1" customWidth="1"/>
    <col min="6999" max="6999" width="25.625" customWidth="1"/>
    <col min="7000" max="7000" width="27.375" bestFit="1" customWidth="1"/>
    <col min="7001" max="7001" width="23.875" bestFit="1" customWidth="1"/>
    <col min="7002" max="7002" width="27.375" bestFit="1" customWidth="1"/>
    <col min="7003" max="7003" width="24.625" customWidth="1"/>
    <col min="7004" max="7004" width="27.375" bestFit="1" customWidth="1"/>
    <col min="7005" max="7005" width="23.875" bestFit="1" customWidth="1"/>
    <col min="7006" max="7006" width="17.625" customWidth="1"/>
    <col min="7007" max="7007" width="18.125" customWidth="1"/>
    <col min="7008" max="7009" width="29.125" bestFit="1" customWidth="1"/>
    <col min="7010" max="7010" width="33.375" bestFit="1" customWidth="1"/>
    <col min="7011" max="7011" width="32.375" bestFit="1" customWidth="1"/>
    <col min="7012" max="7013" width="28.875" bestFit="1" customWidth="1"/>
    <col min="7014" max="7014" width="33.125" bestFit="1" customWidth="1"/>
    <col min="7015" max="7015" width="29.125" bestFit="1" customWidth="1"/>
    <col min="7016" max="7017" width="25.375" bestFit="1" customWidth="1"/>
    <col min="7018" max="7018" width="29.875" customWidth="1"/>
    <col min="7019" max="7019" width="16.375" bestFit="1" customWidth="1"/>
    <col min="7020" max="7020" width="19.375" bestFit="1" customWidth="1"/>
    <col min="7021" max="7021" width="27.625" bestFit="1" customWidth="1"/>
    <col min="7022" max="7022" width="10.375" bestFit="1" customWidth="1"/>
    <col min="7023" max="7023" width="18.875" bestFit="1" customWidth="1"/>
    <col min="7024" max="7024" width="24.625" customWidth="1"/>
    <col min="7025" max="7025" width="17.625" bestFit="1" customWidth="1"/>
    <col min="7026" max="7026" width="24.875" bestFit="1" customWidth="1"/>
    <col min="7027" max="7027" width="21.875" bestFit="1" customWidth="1"/>
    <col min="7028" max="7028" width="12.125" bestFit="1" customWidth="1"/>
    <col min="7029" max="7029" width="17.375" bestFit="1" customWidth="1"/>
    <col min="7030" max="7030" width="13.375" bestFit="1" customWidth="1"/>
    <col min="7031" max="7031" width="17.375" bestFit="1" customWidth="1"/>
    <col min="7032" max="7039" width="8.625" bestFit="1" customWidth="1"/>
    <col min="7040" max="7040" width="10.125" bestFit="1" customWidth="1"/>
    <col min="7041" max="7044" width="8.625" bestFit="1" customWidth="1"/>
    <col min="7045" max="7045" width="5.625" bestFit="1" customWidth="1"/>
    <col min="7046" max="7046" width="17.375" bestFit="1" customWidth="1"/>
    <col min="7047" max="7047" width="21.875" bestFit="1" customWidth="1"/>
    <col min="7048" max="7048" width="57.375" bestFit="1" customWidth="1"/>
    <col min="7049" max="7049" width="25.375" bestFit="1" customWidth="1"/>
    <col min="7050" max="7050" width="15.625" customWidth="1"/>
    <col min="7051" max="7051" width="32.125" bestFit="1" customWidth="1"/>
    <col min="7052" max="7052" width="22.625" bestFit="1" customWidth="1"/>
    <col min="7053" max="7053" width="24.875" bestFit="1" customWidth="1"/>
    <col min="7054" max="7054" width="25.625" customWidth="1"/>
    <col min="7055" max="7055" width="31.375" bestFit="1" customWidth="1"/>
    <col min="7056" max="7056" width="24.625" customWidth="1"/>
    <col min="7057" max="7057" width="31.625" bestFit="1" customWidth="1"/>
    <col min="7058" max="7058" width="51.625" bestFit="1" customWidth="1"/>
    <col min="7059" max="7059" width="57.375" bestFit="1" customWidth="1"/>
    <col min="7060" max="7060" width="57.125" bestFit="1" customWidth="1"/>
    <col min="7061" max="7061" width="62.875" bestFit="1" customWidth="1"/>
    <col min="7062" max="7062" width="32.125" bestFit="1" customWidth="1"/>
    <col min="7168" max="7168" width="16.875" bestFit="1" customWidth="1"/>
    <col min="7169" max="7169" width="13.125" bestFit="1" customWidth="1"/>
    <col min="7170" max="7170" width="16.875" bestFit="1" customWidth="1"/>
    <col min="7171" max="7171" width="13.875" bestFit="1" customWidth="1"/>
    <col min="7172" max="7172" width="18.875" bestFit="1" customWidth="1"/>
    <col min="7173" max="7173" width="10.375" bestFit="1" customWidth="1"/>
    <col min="7174" max="7175" width="18.875" bestFit="1" customWidth="1"/>
    <col min="7176" max="7176" width="13.375" customWidth="1"/>
    <col min="7177" max="7178" width="18.875" bestFit="1" customWidth="1"/>
    <col min="7179" max="7179" width="15.125" bestFit="1" customWidth="1"/>
    <col min="7180" max="7180" width="15.375" bestFit="1" customWidth="1"/>
    <col min="7181" max="7181" width="16.625" customWidth="1"/>
    <col min="7182" max="7182" width="13.375" customWidth="1"/>
    <col min="7183" max="7183" width="16.875" bestFit="1" customWidth="1"/>
    <col min="7184" max="7184" width="14.875" bestFit="1" customWidth="1"/>
    <col min="7185" max="7185" width="20.625" bestFit="1" customWidth="1"/>
    <col min="7186" max="7186" width="18.375" bestFit="1" customWidth="1"/>
    <col min="7187" max="7187" width="13.375" bestFit="1" customWidth="1"/>
    <col min="7188" max="7188" width="36.375" customWidth="1"/>
    <col min="7189" max="7189" width="36.375" bestFit="1" customWidth="1"/>
    <col min="7190" max="7190" width="24.625" customWidth="1"/>
    <col min="7191" max="7191" width="36.375" bestFit="1" customWidth="1"/>
    <col min="7192" max="7192" width="21.625" bestFit="1" customWidth="1"/>
    <col min="7193" max="7193" width="21.875" bestFit="1" customWidth="1"/>
    <col min="7194" max="7194" width="21.625" bestFit="1" customWidth="1"/>
    <col min="7195" max="7195" width="13.875" bestFit="1" customWidth="1"/>
    <col min="7196" max="7196" width="10.375" bestFit="1" customWidth="1"/>
    <col min="7197" max="7197" width="18.875" bestFit="1" customWidth="1"/>
    <col min="7198" max="7198" width="10.375" bestFit="1" customWidth="1"/>
    <col min="7199" max="7199" width="98.875" bestFit="1" customWidth="1"/>
    <col min="7200" max="7200" width="17.625" bestFit="1" customWidth="1"/>
    <col min="7201" max="7201" width="26.625" bestFit="1" customWidth="1"/>
    <col min="7202" max="7202" width="23.375" bestFit="1" customWidth="1"/>
    <col min="7203" max="7203" width="15.375" bestFit="1" customWidth="1"/>
    <col min="7204" max="7204" width="202.625" customWidth="1"/>
    <col min="7205" max="7205" width="46.625" bestFit="1" customWidth="1"/>
    <col min="7206" max="7206" width="26.125" bestFit="1" customWidth="1"/>
    <col min="7207" max="7207" width="18.875" bestFit="1" customWidth="1"/>
    <col min="7208" max="7208" width="42.125" bestFit="1" customWidth="1"/>
    <col min="7209" max="7210" width="18.875" bestFit="1" customWidth="1"/>
    <col min="7211" max="7211" width="22.375" bestFit="1" customWidth="1"/>
    <col min="7212" max="7212" width="17.625" bestFit="1" customWidth="1"/>
    <col min="7213" max="7213" width="17.375" bestFit="1" customWidth="1"/>
    <col min="7214" max="7214" width="15.125" bestFit="1" customWidth="1"/>
    <col min="7215" max="7215" width="27.875" bestFit="1" customWidth="1"/>
    <col min="7216" max="7216" width="31.375" bestFit="1" customWidth="1"/>
    <col min="7217" max="7217" width="14.125" bestFit="1" customWidth="1"/>
    <col min="7218" max="7218" width="10.625" customWidth="1"/>
    <col min="7219" max="7220" width="20.625" customWidth="1"/>
    <col min="7221" max="7221" width="19.375" bestFit="1" customWidth="1"/>
    <col min="7222" max="7222" width="21.875" bestFit="1" customWidth="1"/>
    <col min="7223" max="7223" width="25.625" customWidth="1"/>
    <col min="7224" max="7224" width="25.875" bestFit="1" customWidth="1"/>
    <col min="7225" max="7225" width="19.625" customWidth="1"/>
    <col min="7226" max="7226" width="35.125" bestFit="1" customWidth="1"/>
    <col min="7227" max="7227" width="27.125" bestFit="1" customWidth="1"/>
    <col min="7228" max="7228" width="36.125" bestFit="1" customWidth="1"/>
    <col min="7229" max="7229" width="27.875" bestFit="1" customWidth="1"/>
    <col min="7230" max="7230" width="19.375" bestFit="1" customWidth="1"/>
    <col min="7231" max="7231" width="17.625" bestFit="1" customWidth="1"/>
    <col min="7232" max="7232" width="30.125" bestFit="1" customWidth="1"/>
    <col min="7233" max="7233" width="25.625" customWidth="1"/>
    <col min="7234" max="7234" width="23.125" bestFit="1" customWidth="1"/>
    <col min="7235" max="7235" width="25.625" customWidth="1"/>
    <col min="7236" max="7236" width="23.125" bestFit="1" customWidth="1"/>
    <col min="7237" max="7237" width="19.625" bestFit="1" customWidth="1"/>
    <col min="7238" max="7238" width="23.125" bestFit="1" customWidth="1"/>
    <col min="7239" max="7239" width="24.625" customWidth="1"/>
    <col min="7240" max="7240" width="23.125" bestFit="1" customWidth="1"/>
    <col min="7241" max="7241" width="19.625" bestFit="1" customWidth="1"/>
    <col min="7242" max="7242" width="17.625" bestFit="1" customWidth="1"/>
    <col min="7243" max="7244" width="21.875" bestFit="1" customWidth="1"/>
    <col min="7245" max="7245" width="25.625" customWidth="1"/>
    <col min="7246" max="7246" width="23.125" bestFit="1" customWidth="1"/>
    <col min="7247" max="7247" width="25.625" customWidth="1"/>
    <col min="7248" max="7248" width="23.125" bestFit="1" customWidth="1"/>
    <col min="7249" max="7249" width="19.625" bestFit="1" customWidth="1"/>
    <col min="7250" max="7250" width="23.125" bestFit="1" customWidth="1"/>
    <col min="7251" max="7251" width="24.625" customWidth="1"/>
    <col min="7252" max="7252" width="23.125" bestFit="1" customWidth="1"/>
    <col min="7253" max="7253" width="19.625" bestFit="1" customWidth="1"/>
    <col min="7254" max="7254" width="27.375" bestFit="1" customWidth="1"/>
    <col min="7255" max="7255" width="25.625" customWidth="1"/>
    <col min="7256" max="7256" width="27.375" bestFit="1" customWidth="1"/>
    <col min="7257" max="7257" width="23.875" bestFit="1" customWidth="1"/>
    <col min="7258" max="7258" width="27.375" bestFit="1" customWidth="1"/>
    <col min="7259" max="7259" width="24.625" customWidth="1"/>
    <col min="7260" max="7260" width="27.375" bestFit="1" customWidth="1"/>
    <col min="7261" max="7261" width="23.875" bestFit="1" customWidth="1"/>
    <col min="7262" max="7262" width="17.625" customWidth="1"/>
    <col min="7263" max="7263" width="18.125" customWidth="1"/>
    <col min="7264" max="7265" width="29.125" bestFit="1" customWidth="1"/>
    <col min="7266" max="7266" width="33.375" bestFit="1" customWidth="1"/>
    <col min="7267" max="7267" width="32.375" bestFit="1" customWidth="1"/>
    <col min="7268" max="7269" width="28.875" bestFit="1" customWidth="1"/>
    <col min="7270" max="7270" width="33.125" bestFit="1" customWidth="1"/>
    <col min="7271" max="7271" width="29.125" bestFit="1" customWidth="1"/>
    <col min="7272" max="7273" width="25.375" bestFit="1" customWidth="1"/>
    <col min="7274" max="7274" width="29.875" customWidth="1"/>
    <col min="7275" max="7275" width="16.375" bestFit="1" customWidth="1"/>
    <col min="7276" max="7276" width="19.375" bestFit="1" customWidth="1"/>
    <col min="7277" max="7277" width="27.625" bestFit="1" customWidth="1"/>
    <col min="7278" max="7278" width="10.375" bestFit="1" customWidth="1"/>
    <col min="7279" max="7279" width="18.875" bestFit="1" customWidth="1"/>
    <col min="7280" max="7280" width="24.625" customWidth="1"/>
    <col min="7281" max="7281" width="17.625" bestFit="1" customWidth="1"/>
    <col min="7282" max="7282" width="24.875" bestFit="1" customWidth="1"/>
    <col min="7283" max="7283" width="21.875" bestFit="1" customWidth="1"/>
    <col min="7284" max="7284" width="12.125" bestFit="1" customWidth="1"/>
    <col min="7285" max="7285" width="17.375" bestFit="1" customWidth="1"/>
    <col min="7286" max="7286" width="13.375" bestFit="1" customWidth="1"/>
    <col min="7287" max="7287" width="17.375" bestFit="1" customWidth="1"/>
    <col min="7288" max="7295" width="8.625" bestFit="1" customWidth="1"/>
    <col min="7296" max="7296" width="10.125" bestFit="1" customWidth="1"/>
    <col min="7297" max="7300" width="8.625" bestFit="1" customWidth="1"/>
    <col min="7301" max="7301" width="5.625" bestFit="1" customWidth="1"/>
    <col min="7302" max="7302" width="17.375" bestFit="1" customWidth="1"/>
    <col min="7303" max="7303" width="21.875" bestFit="1" customWidth="1"/>
    <col min="7304" max="7304" width="57.375" bestFit="1" customWidth="1"/>
    <col min="7305" max="7305" width="25.375" bestFit="1" customWidth="1"/>
    <col min="7306" max="7306" width="15.625" customWidth="1"/>
    <col min="7307" max="7307" width="32.125" bestFit="1" customWidth="1"/>
    <col min="7308" max="7308" width="22.625" bestFit="1" customWidth="1"/>
    <col min="7309" max="7309" width="24.875" bestFit="1" customWidth="1"/>
    <col min="7310" max="7310" width="25.625" customWidth="1"/>
    <col min="7311" max="7311" width="31.375" bestFit="1" customWidth="1"/>
    <col min="7312" max="7312" width="24.625" customWidth="1"/>
    <col min="7313" max="7313" width="31.625" bestFit="1" customWidth="1"/>
    <col min="7314" max="7314" width="51.625" bestFit="1" customWidth="1"/>
    <col min="7315" max="7315" width="57.375" bestFit="1" customWidth="1"/>
    <col min="7316" max="7316" width="57.125" bestFit="1" customWidth="1"/>
    <col min="7317" max="7317" width="62.875" bestFit="1" customWidth="1"/>
    <col min="7318" max="7318" width="32.125" bestFit="1" customWidth="1"/>
    <col min="7424" max="7424" width="16.875" bestFit="1" customWidth="1"/>
    <col min="7425" max="7425" width="13.125" bestFit="1" customWidth="1"/>
    <col min="7426" max="7426" width="16.875" bestFit="1" customWidth="1"/>
    <col min="7427" max="7427" width="13.875" bestFit="1" customWidth="1"/>
    <col min="7428" max="7428" width="18.875" bestFit="1" customWidth="1"/>
    <col min="7429" max="7429" width="10.375" bestFit="1" customWidth="1"/>
    <col min="7430" max="7431" width="18.875" bestFit="1" customWidth="1"/>
    <col min="7432" max="7432" width="13.375" customWidth="1"/>
    <col min="7433" max="7434" width="18.875" bestFit="1" customWidth="1"/>
    <col min="7435" max="7435" width="15.125" bestFit="1" customWidth="1"/>
    <col min="7436" max="7436" width="15.375" bestFit="1" customWidth="1"/>
    <col min="7437" max="7437" width="16.625" customWidth="1"/>
    <col min="7438" max="7438" width="13.375" customWidth="1"/>
    <col min="7439" max="7439" width="16.875" bestFit="1" customWidth="1"/>
    <col min="7440" max="7440" width="14.875" bestFit="1" customWidth="1"/>
    <col min="7441" max="7441" width="20.625" bestFit="1" customWidth="1"/>
    <col min="7442" max="7442" width="18.375" bestFit="1" customWidth="1"/>
    <col min="7443" max="7443" width="13.375" bestFit="1" customWidth="1"/>
    <col min="7444" max="7444" width="36.375" customWidth="1"/>
    <col min="7445" max="7445" width="36.375" bestFit="1" customWidth="1"/>
    <col min="7446" max="7446" width="24.625" customWidth="1"/>
    <col min="7447" max="7447" width="36.375" bestFit="1" customWidth="1"/>
    <col min="7448" max="7448" width="21.625" bestFit="1" customWidth="1"/>
    <col min="7449" max="7449" width="21.875" bestFit="1" customWidth="1"/>
    <col min="7450" max="7450" width="21.625" bestFit="1" customWidth="1"/>
    <col min="7451" max="7451" width="13.875" bestFit="1" customWidth="1"/>
    <col min="7452" max="7452" width="10.375" bestFit="1" customWidth="1"/>
    <col min="7453" max="7453" width="18.875" bestFit="1" customWidth="1"/>
    <col min="7454" max="7454" width="10.375" bestFit="1" customWidth="1"/>
    <col min="7455" max="7455" width="98.875" bestFit="1" customWidth="1"/>
    <col min="7456" max="7456" width="17.625" bestFit="1" customWidth="1"/>
    <col min="7457" max="7457" width="26.625" bestFit="1" customWidth="1"/>
    <col min="7458" max="7458" width="23.375" bestFit="1" customWidth="1"/>
    <col min="7459" max="7459" width="15.375" bestFit="1" customWidth="1"/>
    <col min="7460" max="7460" width="202.625" customWidth="1"/>
    <col min="7461" max="7461" width="46.625" bestFit="1" customWidth="1"/>
    <col min="7462" max="7462" width="26.125" bestFit="1" customWidth="1"/>
    <col min="7463" max="7463" width="18.875" bestFit="1" customWidth="1"/>
    <col min="7464" max="7464" width="42.125" bestFit="1" customWidth="1"/>
    <col min="7465" max="7466" width="18.875" bestFit="1" customWidth="1"/>
    <col min="7467" max="7467" width="22.375" bestFit="1" customWidth="1"/>
    <col min="7468" max="7468" width="17.625" bestFit="1" customWidth="1"/>
    <col min="7469" max="7469" width="17.375" bestFit="1" customWidth="1"/>
    <col min="7470" max="7470" width="15.125" bestFit="1" customWidth="1"/>
    <col min="7471" max="7471" width="27.875" bestFit="1" customWidth="1"/>
    <col min="7472" max="7472" width="31.375" bestFit="1" customWidth="1"/>
    <col min="7473" max="7473" width="14.125" bestFit="1" customWidth="1"/>
    <col min="7474" max="7474" width="10.625" customWidth="1"/>
    <col min="7475" max="7476" width="20.625" customWidth="1"/>
    <col min="7477" max="7477" width="19.375" bestFit="1" customWidth="1"/>
    <col min="7478" max="7478" width="21.875" bestFit="1" customWidth="1"/>
    <col min="7479" max="7479" width="25.625" customWidth="1"/>
    <col min="7480" max="7480" width="25.875" bestFit="1" customWidth="1"/>
    <col min="7481" max="7481" width="19.625" customWidth="1"/>
    <col min="7482" max="7482" width="35.125" bestFit="1" customWidth="1"/>
    <col min="7483" max="7483" width="27.125" bestFit="1" customWidth="1"/>
    <col min="7484" max="7484" width="36.125" bestFit="1" customWidth="1"/>
    <col min="7485" max="7485" width="27.875" bestFit="1" customWidth="1"/>
    <col min="7486" max="7486" width="19.375" bestFit="1" customWidth="1"/>
    <col min="7487" max="7487" width="17.625" bestFit="1" customWidth="1"/>
    <col min="7488" max="7488" width="30.125" bestFit="1" customWidth="1"/>
    <col min="7489" max="7489" width="25.625" customWidth="1"/>
    <col min="7490" max="7490" width="23.125" bestFit="1" customWidth="1"/>
    <col min="7491" max="7491" width="25.625" customWidth="1"/>
    <col min="7492" max="7492" width="23.125" bestFit="1" customWidth="1"/>
    <col min="7493" max="7493" width="19.625" bestFit="1" customWidth="1"/>
    <col min="7494" max="7494" width="23.125" bestFit="1" customWidth="1"/>
    <col min="7495" max="7495" width="24.625" customWidth="1"/>
    <col min="7496" max="7496" width="23.125" bestFit="1" customWidth="1"/>
    <col min="7497" max="7497" width="19.625" bestFit="1" customWidth="1"/>
    <col min="7498" max="7498" width="17.625" bestFit="1" customWidth="1"/>
    <col min="7499" max="7500" width="21.875" bestFit="1" customWidth="1"/>
    <col min="7501" max="7501" width="25.625" customWidth="1"/>
    <col min="7502" max="7502" width="23.125" bestFit="1" customWidth="1"/>
    <col min="7503" max="7503" width="25.625" customWidth="1"/>
    <col min="7504" max="7504" width="23.125" bestFit="1" customWidth="1"/>
    <col min="7505" max="7505" width="19.625" bestFit="1" customWidth="1"/>
    <col min="7506" max="7506" width="23.125" bestFit="1" customWidth="1"/>
    <col min="7507" max="7507" width="24.625" customWidth="1"/>
    <col min="7508" max="7508" width="23.125" bestFit="1" customWidth="1"/>
    <col min="7509" max="7509" width="19.625" bestFit="1" customWidth="1"/>
    <col min="7510" max="7510" width="27.375" bestFit="1" customWidth="1"/>
    <col min="7511" max="7511" width="25.625" customWidth="1"/>
    <col min="7512" max="7512" width="27.375" bestFit="1" customWidth="1"/>
    <col min="7513" max="7513" width="23.875" bestFit="1" customWidth="1"/>
    <col min="7514" max="7514" width="27.375" bestFit="1" customWidth="1"/>
    <col min="7515" max="7515" width="24.625" customWidth="1"/>
    <col min="7516" max="7516" width="27.375" bestFit="1" customWidth="1"/>
    <col min="7517" max="7517" width="23.875" bestFit="1" customWidth="1"/>
    <col min="7518" max="7518" width="17.625" customWidth="1"/>
    <col min="7519" max="7519" width="18.125" customWidth="1"/>
    <col min="7520" max="7521" width="29.125" bestFit="1" customWidth="1"/>
    <col min="7522" max="7522" width="33.375" bestFit="1" customWidth="1"/>
    <col min="7523" max="7523" width="32.375" bestFit="1" customWidth="1"/>
    <col min="7524" max="7525" width="28.875" bestFit="1" customWidth="1"/>
    <col min="7526" max="7526" width="33.125" bestFit="1" customWidth="1"/>
    <col min="7527" max="7527" width="29.125" bestFit="1" customWidth="1"/>
    <col min="7528" max="7529" width="25.375" bestFit="1" customWidth="1"/>
    <col min="7530" max="7530" width="29.875" customWidth="1"/>
    <col min="7531" max="7531" width="16.375" bestFit="1" customWidth="1"/>
    <col min="7532" max="7532" width="19.375" bestFit="1" customWidth="1"/>
    <col min="7533" max="7533" width="27.625" bestFit="1" customWidth="1"/>
    <col min="7534" max="7534" width="10.375" bestFit="1" customWidth="1"/>
    <col min="7535" max="7535" width="18.875" bestFit="1" customWidth="1"/>
    <col min="7536" max="7536" width="24.625" customWidth="1"/>
    <col min="7537" max="7537" width="17.625" bestFit="1" customWidth="1"/>
    <col min="7538" max="7538" width="24.875" bestFit="1" customWidth="1"/>
    <col min="7539" max="7539" width="21.875" bestFit="1" customWidth="1"/>
    <col min="7540" max="7540" width="12.125" bestFit="1" customWidth="1"/>
    <col min="7541" max="7541" width="17.375" bestFit="1" customWidth="1"/>
    <col min="7542" max="7542" width="13.375" bestFit="1" customWidth="1"/>
    <col min="7543" max="7543" width="17.375" bestFit="1" customWidth="1"/>
    <col min="7544" max="7551" width="8.625" bestFit="1" customWidth="1"/>
    <col min="7552" max="7552" width="10.125" bestFit="1" customWidth="1"/>
    <col min="7553" max="7556" width="8.625" bestFit="1" customWidth="1"/>
    <col min="7557" max="7557" width="5.625" bestFit="1" customWidth="1"/>
    <col min="7558" max="7558" width="17.375" bestFit="1" customWidth="1"/>
    <col min="7559" max="7559" width="21.875" bestFit="1" customWidth="1"/>
    <col min="7560" max="7560" width="57.375" bestFit="1" customWidth="1"/>
    <col min="7561" max="7561" width="25.375" bestFit="1" customWidth="1"/>
    <col min="7562" max="7562" width="15.625" customWidth="1"/>
    <col min="7563" max="7563" width="32.125" bestFit="1" customWidth="1"/>
    <col min="7564" max="7564" width="22.625" bestFit="1" customWidth="1"/>
    <col min="7565" max="7565" width="24.875" bestFit="1" customWidth="1"/>
    <col min="7566" max="7566" width="25.625" customWidth="1"/>
    <col min="7567" max="7567" width="31.375" bestFit="1" customWidth="1"/>
    <col min="7568" max="7568" width="24.625" customWidth="1"/>
    <col min="7569" max="7569" width="31.625" bestFit="1" customWidth="1"/>
    <col min="7570" max="7570" width="51.625" bestFit="1" customWidth="1"/>
    <col min="7571" max="7571" width="57.375" bestFit="1" customWidth="1"/>
    <col min="7572" max="7572" width="57.125" bestFit="1" customWidth="1"/>
    <col min="7573" max="7573" width="62.875" bestFit="1" customWidth="1"/>
    <col min="7574" max="7574" width="32.125" bestFit="1" customWidth="1"/>
    <col min="7680" max="7680" width="16.875" bestFit="1" customWidth="1"/>
    <col min="7681" max="7681" width="13.125" bestFit="1" customWidth="1"/>
    <col min="7682" max="7682" width="16.875" bestFit="1" customWidth="1"/>
    <col min="7683" max="7683" width="13.875" bestFit="1" customWidth="1"/>
    <col min="7684" max="7684" width="18.875" bestFit="1" customWidth="1"/>
    <col min="7685" max="7685" width="10.375" bestFit="1" customWidth="1"/>
    <col min="7686" max="7687" width="18.875" bestFit="1" customWidth="1"/>
    <col min="7688" max="7688" width="13.375" customWidth="1"/>
    <col min="7689" max="7690" width="18.875" bestFit="1" customWidth="1"/>
    <col min="7691" max="7691" width="15.125" bestFit="1" customWidth="1"/>
    <col min="7692" max="7692" width="15.375" bestFit="1" customWidth="1"/>
    <col min="7693" max="7693" width="16.625" customWidth="1"/>
    <col min="7694" max="7694" width="13.375" customWidth="1"/>
    <col min="7695" max="7695" width="16.875" bestFit="1" customWidth="1"/>
    <col min="7696" max="7696" width="14.875" bestFit="1" customWidth="1"/>
    <col min="7697" max="7697" width="20.625" bestFit="1" customWidth="1"/>
    <col min="7698" max="7698" width="18.375" bestFit="1" customWidth="1"/>
    <col min="7699" max="7699" width="13.375" bestFit="1" customWidth="1"/>
    <col min="7700" max="7700" width="36.375" customWidth="1"/>
    <col min="7701" max="7701" width="36.375" bestFit="1" customWidth="1"/>
    <col min="7702" max="7702" width="24.625" customWidth="1"/>
    <col min="7703" max="7703" width="36.375" bestFit="1" customWidth="1"/>
    <col min="7704" max="7704" width="21.625" bestFit="1" customWidth="1"/>
    <col min="7705" max="7705" width="21.875" bestFit="1" customWidth="1"/>
    <col min="7706" max="7706" width="21.625" bestFit="1" customWidth="1"/>
    <col min="7707" max="7707" width="13.875" bestFit="1" customWidth="1"/>
    <col min="7708" max="7708" width="10.375" bestFit="1" customWidth="1"/>
    <col min="7709" max="7709" width="18.875" bestFit="1" customWidth="1"/>
    <col min="7710" max="7710" width="10.375" bestFit="1" customWidth="1"/>
    <col min="7711" max="7711" width="98.875" bestFit="1" customWidth="1"/>
    <col min="7712" max="7712" width="17.625" bestFit="1" customWidth="1"/>
    <col min="7713" max="7713" width="26.625" bestFit="1" customWidth="1"/>
    <col min="7714" max="7714" width="23.375" bestFit="1" customWidth="1"/>
    <col min="7715" max="7715" width="15.375" bestFit="1" customWidth="1"/>
    <col min="7716" max="7716" width="202.625" customWidth="1"/>
    <col min="7717" max="7717" width="46.625" bestFit="1" customWidth="1"/>
    <col min="7718" max="7718" width="26.125" bestFit="1" customWidth="1"/>
    <col min="7719" max="7719" width="18.875" bestFit="1" customWidth="1"/>
    <col min="7720" max="7720" width="42.125" bestFit="1" customWidth="1"/>
    <col min="7721" max="7722" width="18.875" bestFit="1" customWidth="1"/>
    <col min="7723" max="7723" width="22.375" bestFit="1" customWidth="1"/>
    <col min="7724" max="7724" width="17.625" bestFit="1" customWidth="1"/>
    <col min="7725" max="7725" width="17.375" bestFit="1" customWidth="1"/>
    <col min="7726" max="7726" width="15.125" bestFit="1" customWidth="1"/>
    <col min="7727" max="7727" width="27.875" bestFit="1" customWidth="1"/>
    <col min="7728" max="7728" width="31.375" bestFit="1" customWidth="1"/>
    <col min="7729" max="7729" width="14.125" bestFit="1" customWidth="1"/>
    <col min="7730" max="7730" width="10.625" customWidth="1"/>
    <col min="7731" max="7732" width="20.625" customWidth="1"/>
    <col min="7733" max="7733" width="19.375" bestFit="1" customWidth="1"/>
    <col min="7734" max="7734" width="21.875" bestFit="1" customWidth="1"/>
    <col min="7735" max="7735" width="25.625" customWidth="1"/>
    <col min="7736" max="7736" width="25.875" bestFit="1" customWidth="1"/>
    <col min="7737" max="7737" width="19.625" customWidth="1"/>
    <col min="7738" max="7738" width="35.125" bestFit="1" customWidth="1"/>
    <col min="7739" max="7739" width="27.125" bestFit="1" customWidth="1"/>
    <col min="7740" max="7740" width="36.125" bestFit="1" customWidth="1"/>
    <col min="7741" max="7741" width="27.875" bestFit="1" customWidth="1"/>
    <col min="7742" max="7742" width="19.375" bestFit="1" customWidth="1"/>
    <col min="7743" max="7743" width="17.625" bestFit="1" customWidth="1"/>
    <col min="7744" max="7744" width="30.125" bestFit="1" customWidth="1"/>
    <col min="7745" max="7745" width="25.625" customWidth="1"/>
    <col min="7746" max="7746" width="23.125" bestFit="1" customWidth="1"/>
    <col min="7747" max="7747" width="25.625" customWidth="1"/>
    <col min="7748" max="7748" width="23.125" bestFit="1" customWidth="1"/>
    <col min="7749" max="7749" width="19.625" bestFit="1" customWidth="1"/>
    <col min="7750" max="7750" width="23.125" bestFit="1" customWidth="1"/>
    <col min="7751" max="7751" width="24.625" customWidth="1"/>
    <col min="7752" max="7752" width="23.125" bestFit="1" customWidth="1"/>
    <col min="7753" max="7753" width="19.625" bestFit="1" customWidth="1"/>
    <col min="7754" max="7754" width="17.625" bestFit="1" customWidth="1"/>
    <col min="7755" max="7756" width="21.875" bestFit="1" customWidth="1"/>
    <col min="7757" max="7757" width="25.625" customWidth="1"/>
    <col min="7758" max="7758" width="23.125" bestFit="1" customWidth="1"/>
    <col min="7759" max="7759" width="25.625" customWidth="1"/>
    <col min="7760" max="7760" width="23.125" bestFit="1" customWidth="1"/>
    <col min="7761" max="7761" width="19.625" bestFit="1" customWidth="1"/>
    <col min="7762" max="7762" width="23.125" bestFit="1" customWidth="1"/>
    <col min="7763" max="7763" width="24.625" customWidth="1"/>
    <col min="7764" max="7764" width="23.125" bestFit="1" customWidth="1"/>
    <col min="7765" max="7765" width="19.625" bestFit="1" customWidth="1"/>
    <col min="7766" max="7766" width="27.375" bestFit="1" customWidth="1"/>
    <col min="7767" max="7767" width="25.625" customWidth="1"/>
    <col min="7768" max="7768" width="27.375" bestFit="1" customWidth="1"/>
    <col min="7769" max="7769" width="23.875" bestFit="1" customWidth="1"/>
    <col min="7770" max="7770" width="27.375" bestFit="1" customWidth="1"/>
    <col min="7771" max="7771" width="24.625" customWidth="1"/>
    <col min="7772" max="7772" width="27.375" bestFit="1" customWidth="1"/>
    <col min="7773" max="7773" width="23.875" bestFit="1" customWidth="1"/>
    <col min="7774" max="7774" width="17.625" customWidth="1"/>
    <col min="7775" max="7775" width="18.125" customWidth="1"/>
    <col min="7776" max="7777" width="29.125" bestFit="1" customWidth="1"/>
    <col min="7778" max="7778" width="33.375" bestFit="1" customWidth="1"/>
    <col min="7779" max="7779" width="32.375" bestFit="1" customWidth="1"/>
    <col min="7780" max="7781" width="28.875" bestFit="1" customWidth="1"/>
    <col min="7782" max="7782" width="33.125" bestFit="1" customWidth="1"/>
    <col min="7783" max="7783" width="29.125" bestFit="1" customWidth="1"/>
    <col min="7784" max="7785" width="25.375" bestFit="1" customWidth="1"/>
    <col min="7786" max="7786" width="29.875" customWidth="1"/>
    <col min="7787" max="7787" width="16.375" bestFit="1" customWidth="1"/>
    <col min="7788" max="7788" width="19.375" bestFit="1" customWidth="1"/>
    <col min="7789" max="7789" width="27.625" bestFit="1" customWidth="1"/>
    <col min="7790" max="7790" width="10.375" bestFit="1" customWidth="1"/>
    <col min="7791" max="7791" width="18.875" bestFit="1" customWidth="1"/>
    <col min="7792" max="7792" width="24.625" customWidth="1"/>
    <col min="7793" max="7793" width="17.625" bestFit="1" customWidth="1"/>
    <col min="7794" max="7794" width="24.875" bestFit="1" customWidth="1"/>
    <col min="7795" max="7795" width="21.875" bestFit="1" customWidth="1"/>
    <col min="7796" max="7796" width="12.125" bestFit="1" customWidth="1"/>
    <col min="7797" max="7797" width="17.375" bestFit="1" customWidth="1"/>
    <col min="7798" max="7798" width="13.375" bestFit="1" customWidth="1"/>
    <col min="7799" max="7799" width="17.375" bestFit="1" customWidth="1"/>
    <col min="7800" max="7807" width="8.625" bestFit="1" customWidth="1"/>
    <col min="7808" max="7808" width="10.125" bestFit="1" customWidth="1"/>
    <col min="7809" max="7812" width="8.625" bestFit="1" customWidth="1"/>
    <col min="7813" max="7813" width="5.625" bestFit="1" customWidth="1"/>
    <col min="7814" max="7814" width="17.375" bestFit="1" customWidth="1"/>
    <col min="7815" max="7815" width="21.875" bestFit="1" customWidth="1"/>
    <col min="7816" max="7816" width="57.375" bestFit="1" customWidth="1"/>
    <col min="7817" max="7817" width="25.375" bestFit="1" customWidth="1"/>
    <col min="7818" max="7818" width="15.625" customWidth="1"/>
    <col min="7819" max="7819" width="32.125" bestFit="1" customWidth="1"/>
    <col min="7820" max="7820" width="22.625" bestFit="1" customWidth="1"/>
    <col min="7821" max="7821" width="24.875" bestFit="1" customWidth="1"/>
    <col min="7822" max="7822" width="25.625" customWidth="1"/>
    <col min="7823" max="7823" width="31.375" bestFit="1" customWidth="1"/>
    <col min="7824" max="7824" width="24.625" customWidth="1"/>
    <col min="7825" max="7825" width="31.625" bestFit="1" customWidth="1"/>
    <col min="7826" max="7826" width="51.625" bestFit="1" customWidth="1"/>
    <col min="7827" max="7827" width="57.375" bestFit="1" customWidth="1"/>
    <col min="7828" max="7828" width="57.125" bestFit="1" customWidth="1"/>
    <col min="7829" max="7829" width="62.875" bestFit="1" customWidth="1"/>
    <col min="7830" max="7830" width="32.125" bestFit="1" customWidth="1"/>
    <col min="7936" max="7936" width="16.875" bestFit="1" customWidth="1"/>
    <col min="7937" max="7937" width="13.125" bestFit="1" customWidth="1"/>
    <col min="7938" max="7938" width="16.875" bestFit="1" customWidth="1"/>
    <col min="7939" max="7939" width="13.875" bestFit="1" customWidth="1"/>
    <col min="7940" max="7940" width="18.875" bestFit="1" customWidth="1"/>
    <col min="7941" max="7941" width="10.375" bestFit="1" customWidth="1"/>
    <col min="7942" max="7943" width="18.875" bestFit="1" customWidth="1"/>
    <col min="7944" max="7944" width="13.375" customWidth="1"/>
    <col min="7945" max="7946" width="18.875" bestFit="1" customWidth="1"/>
    <col min="7947" max="7947" width="15.125" bestFit="1" customWidth="1"/>
    <col min="7948" max="7948" width="15.375" bestFit="1" customWidth="1"/>
    <col min="7949" max="7949" width="16.625" customWidth="1"/>
    <col min="7950" max="7950" width="13.375" customWidth="1"/>
    <col min="7951" max="7951" width="16.875" bestFit="1" customWidth="1"/>
    <col min="7952" max="7952" width="14.875" bestFit="1" customWidth="1"/>
    <col min="7953" max="7953" width="20.625" bestFit="1" customWidth="1"/>
    <col min="7954" max="7954" width="18.375" bestFit="1" customWidth="1"/>
    <col min="7955" max="7955" width="13.375" bestFit="1" customWidth="1"/>
    <col min="7956" max="7956" width="36.375" customWidth="1"/>
    <col min="7957" max="7957" width="36.375" bestFit="1" customWidth="1"/>
    <col min="7958" max="7958" width="24.625" customWidth="1"/>
    <col min="7959" max="7959" width="36.375" bestFit="1" customWidth="1"/>
    <col min="7960" max="7960" width="21.625" bestFit="1" customWidth="1"/>
    <col min="7961" max="7961" width="21.875" bestFit="1" customWidth="1"/>
    <col min="7962" max="7962" width="21.625" bestFit="1" customWidth="1"/>
    <col min="7963" max="7963" width="13.875" bestFit="1" customWidth="1"/>
    <col min="7964" max="7964" width="10.375" bestFit="1" customWidth="1"/>
    <col min="7965" max="7965" width="18.875" bestFit="1" customWidth="1"/>
    <col min="7966" max="7966" width="10.375" bestFit="1" customWidth="1"/>
    <col min="7967" max="7967" width="98.875" bestFit="1" customWidth="1"/>
    <col min="7968" max="7968" width="17.625" bestFit="1" customWidth="1"/>
    <col min="7969" max="7969" width="26.625" bestFit="1" customWidth="1"/>
    <col min="7970" max="7970" width="23.375" bestFit="1" customWidth="1"/>
    <col min="7971" max="7971" width="15.375" bestFit="1" customWidth="1"/>
    <col min="7972" max="7972" width="202.625" customWidth="1"/>
    <col min="7973" max="7973" width="46.625" bestFit="1" customWidth="1"/>
    <col min="7974" max="7974" width="26.125" bestFit="1" customWidth="1"/>
    <col min="7975" max="7975" width="18.875" bestFit="1" customWidth="1"/>
    <col min="7976" max="7976" width="42.125" bestFit="1" customWidth="1"/>
    <col min="7977" max="7978" width="18.875" bestFit="1" customWidth="1"/>
    <col min="7979" max="7979" width="22.375" bestFit="1" customWidth="1"/>
    <col min="7980" max="7980" width="17.625" bestFit="1" customWidth="1"/>
    <col min="7981" max="7981" width="17.375" bestFit="1" customWidth="1"/>
    <col min="7982" max="7982" width="15.125" bestFit="1" customWidth="1"/>
    <col min="7983" max="7983" width="27.875" bestFit="1" customWidth="1"/>
    <col min="7984" max="7984" width="31.375" bestFit="1" customWidth="1"/>
    <col min="7985" max="7985" width="14.125" bestFit="1" customWidth="1"/>
    <col min="7986" max="7986" width="10.625" customWidth="1"/>
    <col min="7987" max="7988" width="20.625" customWidth="1"/>
    <col min="7989" max="7989" width="19.375" bestFit="1" customWidth="1"/>
    <col min="7990" max="7990" width="21.875" bestFit="1" customWidth="1"/>
    <col min="7991" max="7991" width="25.625" customWidth="1"/>
    <col min="7992" max="7992" width="25.875" bestFit="1" customWidth="1"/>
    <col min="7993" max="7993" width="19.625" customWidth="1"/>
    <col min="7994" max="7994" width="35.125" bestFit="1" customWidth="1"/>
    <col min="7995" max="7995" width="27.125" bestFit="1" customWidth="1"/>
    <col min="7996" max="7996" width="36.125" bestFit="1" customWidth="1"/>
    <col min="7997" max="7997" width="27.875" bestFit="1" customWidth="1"/>
    <col min="7998" max="7998" width="19.375" bestFit="1" customWidth="1"/>
    <col min="7999" max="7999" width="17.625" bestFit="1" customWidth="1"/>
    <col min="8000" max="8000" width="30.125" bestFit="1" customWidth="1"/>
    <col min="8001" max="8001" width="25.625" customWidth="1"/>
    <col min="8002" max="8002" width="23.125" bestFit="1" customWidth="1"/>
    <col min="8003" max="8003" width="25.625" customWidth="1"/>
    <col min="8004" max="8004" width="23.125" bestFit="1" customWidth="1"/>
    <col min="8005" max="8005" width="19.625" bestFit="1" customWidth="1"/>
    <col min="8006" max="8006" width="23.125" bestFit="1" customWidth="1"/>
    <col min="8007" max="8007" width="24.625" customWidth="1"/>
    <col min="8008" max="8008" width="23.125" bestFit="1" customWidth="1"/>
    <col min="8009" max="8009" width="19.625" bestFit="1" customWidth="1"/>
    <col min="8010" max="8010" width="17.625" bestFit="1" customWidth="1"/>
    <col min="8011" max="8012" width="21.875" bestFit="1" customWidth="1"/>
    <col min="8013" max="8013" width="25.625" customWidth="1"/>
    <col min="8014" max="8014" width="23.125" bestFit="1" customWidth="1"/>
    <col min="8015" max="8015" width="25.625" customWidth="1"/>
    <col min="8016" max="8016" width="23.125" bestFit="1" customWidth="1"/>
    <col min="8017" max="8017" width="19.625" bestFit="1" customWidth="1"/>
    <col min="8018" max="8018" width="23.125" bestFit="1" customWidth="1"/>
    <col min="8019" max="8019" width="24.625" customWidth="1"/>
    <col min="8020" max="8020" width="23.125" bestFit="1" customWidth="1"/>
    <col min="8021" max="8021" width="19.625" bestFit="1" customWidth="1"/>
    <col min="8022" max="8022" width="27.375" bestFit="1" customWidth="1"/>
    <col min="8023" max="8023" width="25.625" customWidth="1"/>
    <col min="8024" max="8024" width="27.375" bestFit="1" customWidth="1"/>
    <col min="8025" max="8025" width="23.875" bestFit="1" customWidth="1"/>
    <col min="8026" max="8026" width="27.375" bestFit="1" customWidth="1"/>
    <col min="8027" max="8027" width="24.625" customWidth="1"/>
    <col min="8028" max="8028" width="27.375" bestFit="1" customWidth="1"/>
    <col min="8029" max="8029" width="23.875" bestFit="1" customWidth="1"/>
    <col min="8030" max="8030" width="17.625" customWidth="1"/>
    <col min="8031" max="8031" width="18.125" customWidth="1"/>
    <col min="8032" max="8033" width="29.125" bestFit="1" customWidth="1"/>
    <col min="8034" max="8034" width="33.375" bestFit="1" customWidth="1"/>
    <col min="8035" max="8035" width="32.375" bestFit="1" customWidth="1"/>
    <col min="8036" max="8037" width="28.875" bestFit="1" customWidth="1"/>
    <col min="8038" max="8038" width="33.125" bestFit="1" customWidth="1"/>
    <col min="8039" max="8039" width="29.125" bestFit="1" customWidth="1"/>
    <col min="8040" max="8041" width="25.375" bestFit="1" customWidth="1"/>
    <col min="8042" max="8042" width="29.875" customWidth="1"/>
    <col min="8043" max="8043" width="16.375" bestFit="1" customWidth="1"/>
    <col min="8044" max="8044" width="19.375" bestFit="1" customWidth="1"/>
    <col min="8045" max="8045" width="27.625" bestFit="1" customWidth="1"/>
    <col min="8046" max="8046" width="10.375" bestFit="1" customWidth="1"/>
    <col min="8047" max="8047" width="18.875" bestFit="1" customWidth="1"/>
    <col min="8048" max="8048" width="24.625" customWidth="1"/>
    <col min="8049" max="8049" width="17.625" bestFit="1" customWidth="1"/>
    <col min="8050" max="8050" width="24.875" bestFit="1" customWidth="1"/>
    <col min="8051" max="8051" width="21.875" bestFit="1" customWidth="1"/>
    <col min="8052" max="8052" width="12.125" bestFit="1" customWidth="1"/>
    <col min="8053" max="8053" width="17.375" bestFit="1" customWidth="1"/>
    <col min="8054" max="8054" width="13.375" bestFit="1" customWidth="1"/>
    <col min="8055" max="8055" width="17.375" bestFit="1" customWidth="1"/>
    <col min="8056" max="8063" width="8.625" bestFit="1" customWidth="1"/>
    <col min="8064" max="8064" width="10.125" bestFit="1" customWidth="1"/>
    <col min="8065" max="8068" width="8.625" bestFit="1" customWidth="1"/>
    <col min="8069" max="8069" width="5.625" bestFit="1" customWidth="1"/>
    <col min="8070" max="8070" width="17.375" bestFit="1" customWidth="1"/>
    <col min="8071" max="8071" width="21.875" bestFit="1" customWidth="1"/>
    <col min="8072" max="8072" width="57.375" bestFit="1" customWidth="1"/>
    <col min="8073" max="8073" width="25.375" bestFit="1" customWidth="1"/>
    <col min="8074" max="8074" width="15.625" customWidth="1"/>
    <col min="8075" max="8075" width="32.125" bestFit="1" customWidth="1"/>
    <col min="8076" max="8076" width="22.625" bestFit="1" customWidth="1"/>
    <col min="8077" max="8077" width="24.875" bestFit="1" customWidth="1"/>
    <col min="8078" max="8078" width="25.625" customWidth="1"/>
    <col min="8079" max="8079" width="31.375" bestFit="1" customWidth="1"/>
    <col min="8080" max="8080" width="24.625" customWidth="1"/>
    <col min="8081" max="8081" width="31.625" bestFit="1" customWidth="1"/>
    <col min="8082" max="8082" width="51.625" bestFit="1" customWidth="1"/>
    <col min="8083" max="8083" width="57.375" bestFit="1" customWidth="1"/>
    <col min="8084" max="8084" width="57.125" bestFit="1" customWidth="1"/>
    <col min="8085" max="8085" width="62.875" bestFit="1" customWidth="1"/>
    <col min="8086" max="8086" width="32.125" bestFit="1" customWidth="1"/>
    <col min="8192" max="8192" width="16.875" bestFit="1" customWidth="1"/>
    <col min="8193" max="8193" width="13.125" bestFit="1" customWidth="1"/>
    <col min="8194" max="8194" width="16.875" bestFit="1" customWidth="1"/>
    <col min="8195" max="8195" width="13.875" bestFit="1" customWidth="1"/>
    <col min="8196" max="8196" width="18.875" bestFit="1" customWidth="1"/>
    <col min="8197" max="8197" width="10.375" bestFit="1" customWidth="1"/>
    <col min="8198" max="8199" width="18.875" bestFit="1" customWidth="1"/>
    <col min="8200" max="8200" width="13.375" customWidth="1"/>
    <col min="8201" max="8202" width="18.875" bestFit="1" customWidth="1"/>
    <col min="8203" max="8203" width="15.125" bestFit="1" customWidth="1"/>
    <col min="8204" max="8204" width="15.375" bestFit="1" customWidth="1"/>
    <col min="8205" max="8205" width="16.625" customWidth="1"/>
    <col min="8206" max="8206" width="13.375" customWidth="1"/>
    <col min="8207" max="8207" width="16.875" bestFit="1" customWidth="1"/>
    <col min="8208" max="8208" width="14.875" bestFit="1" customWidth="1"/>
    <col min="8209" max="8209" width="20.625" bestFit="1" customWidth="1"/>
    <col min="8210" max="8210" width="18.375" bestFit="1" customWidth="1"/>
    <col min="8211" max="8211" width="13.375" bestFit="1" customWidth="1"/>
    <col min="8212" max="8212" width="36.375" customWidth="1"/>
    <col min="8213" max="8213" width="36.375" bestFit="1" customWidth="1"/>
    <col min="8214" max="8214" width="24.625" customWidth="1"/>
    <col min="8215" max="8215" width="36.375" bestFit="1" customWidth="1"/>
    <col min="8216" max="8216" width="21.625" bestFit="1" customWidth="1"/>
    <col min="8217" max="8217" width="21.875" bestFit="1" customWidth="1"/>
    <col min="8218" max="8218" width="21.625" bestFit="1" customWidth="1"/>
    <col min="8219" max="8219" width="13.875" bestFit="1" customWidth="1"/>
    <col min="8220" max="8220" width="10.375" bestFit="1" customWidth="1"/>
    <col min="8221" max="8221" width="18.875" bestFit="1" customWidth="1"/>
    <col min="8222" max="8222" width="10.375" bestFit="1" customWidth="1"/>
    <col min="8223" max="8223" width="98.875" bestFit="1" customWidth="1"/>
    <col min="8224" max="8224" width="17.625" bestFit="1" customWidth="1"/>
    <col min="8225" max="8225" width="26.625" bestFit="1" customWidth="1"/>
    <col min="8226" max="8226" width="23.375" bestFit="1" customWidth="1"/>
    <col min="8227" max="8227" width="15.375" bestFit="1" customWidth="1"/>
    <col min="8228" max="8228" width="202.625" customWidth="1"/>
    <col min="8229" max="8229" width="46.625" bestFit="1" customWidth="1"/>
    <col min="8230" max="8230" width="26.125" bestFit="1" customWidth="1"/>
    <col min="8231" max="8231" width="18.875" bestFit="1" customWidth="1"/>
    <col min="8232" max="8232" width="42.125" bestFit="1" customWidth="1"/>
    <col min="8233" max="8234" width="18.875" bestFit="1" customWidth="1"/>
    <col min="8235" max="8235" width="22.375" bestFit="1" customWidth="1"/>
    <col min="8236" max="8236" width="17.625" bestFit="1" customWidth="1"/>
    <col min="8237" max="8237" width="17.375" bestFit="1" customWidth="1"/>
    <col min="8238" max="8238" width="15.125" bestFit="1" customWidth="1"/>
    <col min="8239" max="8239" width="27.875" bestFit="1" customWidth="1"/>
    <col min="8240" max="8240" width="31.375" bestFit="1" customWidth="1"/>
    <col min="8241" max="8241" width="14.125" bestFit="1" customWidth="1"/>
    <col min="8242" max="8242" width="10.625" customWidth="1"/>
    <col min="8243" max="8244" width="20.625" customWidth="1"/>
    <col min="8245" max="8245" width="19.375" bestFit="1" customWidth="1"/>
    <col min="8246" max="8246" width="21.875" bestFit="1" customWidth="1"/>
    <col min="8247" max="8247" width="25.625" customWidth="1"/>
    <col min="8248" max="8248" width="25.875" bestFit="1" customWidth="1"/>
    <col min="8249" max="8249" width="19.625" customWidth="1"/>
    <col min="8250" max="8250" width="35.125" bestFit="1" customWidth="1"/>
    <col min="8251" max="8251" width="27.125" bestFit="1" customWidth="1"/>
    <col min="8252" max="8252" width="36.125" bestFit="1" customWidth="1"/>
    <col min="8253" max="8253" width="27.875" bestFit="1" customWidth="1"/>
    <col min="8254" max="8254" width="19.375" bestFit="1" customWidth="1"/>
    <col min="8255" max="8255" width="17.625" bestFit="1" customWidth="1"/>
    <col min="8256" max="8256" width="30.125" bestFit="1" customWidth="1"/>
    <col min="8257" max="8257" width="25.625" customWidth="1"/>
    <col min="8258" max="8258" width="23.125" bestFit="1" customWidth="1"/>
    <col min="8259" max="8259" width="25.625" customWidth="1"/>
    <col min="8260" max="8260" width="23.125" bestFit="1" customWidth="1"/>
    <col min="8261" max="8261" width="19.625" bestFit="1" customWidth="1"/>
    <col min="8262" max="8262" width="23.125" bestFit="1" customWidth="1"/>
    <col min="8263" max="8263" width="24.625" customWidth="1"/>
    <col min="8264" max="8264" width="23.125" bestFit="1" customWidth="1"/>
    <col min="8265" max="8265" width="19.625" bestFit="1" customWidth="1"/>
    <col min="8266" max="8266" width="17.625" bestFit="1" customWidth="1"/>
    <col min="8267" max="8268" width="21.875" bestFit="1" customWidth="1"/>
    <col min="8269" max="8269" width="25.625" customWidth="1"/>
    <col min="8270" max="8270" width="23.125" bestFit="1" customWidth="1"/>
    <col min="8271" max="8271" width="25.625" customWidth="1"/>
    <col min="8272" max="8272" width="23.125" bestFit="1" customWidth="1"/>
    <col min="8273" max="8273" width="19.625" bestFit="1" customWidth="1"/>
    <col min="8274" max="8274" width="23.125" bestFit="1" customWidth="1"/>
    <col min="8275" max="8275" width="24.625" customWidth="1"/>
    <col min="8276" max="8276" width="23.125" bestFit="1" customWidth="1"/>
    <col min="8277" max="8277" width="19.625" bestFit="1" customWidth="1"/>
    <col min="8278" max="8278" width="27.375" bestFit="1" customWidth="1"/>
    <col min="8279" max="8279" width="25.625" customWidth="1"/>
    <col min="8280" max="8280" width="27.375" bestFit="1" customWidth="1"/>
    <col min="8281" max="8281" width="23.875" bestFit="1" customWidth="1"/>
    <col min="8282" max="8282" width="27.375" bestFit="1" customWidth="1"/>
    <col min="8283" max="8283" width="24.625" customWidth="1"/>
    <col min="8284" max="8284" width="27.375" bestFit="1" customWidth="1"/>
    <col min="8285" max="8285" width="23.875" bestFit="1" customWidth="1"/>
    <col min="8286" max="8286" width="17.625" customWidth="1"/>
    <col min="8287" max="8287" width="18.125" customWidth="1"/>
    <col min="8288" max="8289" width="29.125" bestFit="1" customWidth="1"/>
    <col min="8290" max="8290" width="33.375" bestFit="1" customWidth="1"/>
    <col min="8291" max="8291" width="32.375" bestFit="1" customWidth="1"/>
    <col min="8292" max="8293" width="28.875" bestFit="1" customWidth="1"/>
    <col min="8294" max="8294" width="33.125" bestFit="1" customWidth="1"/>
    <col min="8295" max="8295" width="29.125" bestFit="1" customWidth="1"/>
    <col min="8296" max="8297" width="25.375" bestFit="1" customWidth="1"/>
    <col min="8298" max="8298" width="29.875" customWidth="1"/>
    <col min="8299" max="8299" width="16.375" bestFit="1" customWidth="1"/>
    <col min="8300" max="8300" width="19.375" bestFit="1" customWidth="1"/>
    <col min="8301" max="8301" width="27.625" bestFit="1" customWidth="1"/>
    <col min="8302" max="8302" width="10.375" bestFit="1" customWidth="1"/>
    <col min="8303" max="8303" width="18.875" bestFit="1" customWidth="1"/>
    <col min="8304" max="8304" width="24.625" customWidth="1"/>
    <col min="8305" max="8305" width="17.625" bestFit="1" customWidth="1"/>
    <col min="8306" max="8306" width="24.875" bestFit="1" customWidth="1"/>
    <col min="8307" max="8307" width="21.875" bestFit="1" customWidth="1"/>
    <col min="8308" max="8308" width="12.125" bestFit="1" customWidth="1"/>
    <col min="8309" max="8309" width="17.375" bestFit="1" customWidth="1"/>
    <col min="8310" max="8310" width="13.375" bestFit="1" customWidth="1"/>
    <col min="8311" max="8311" width="17.375" bestFit="1" customWidth="1"/>
    <col min="8312" max="8319" width="8.625" bestFit="1" customWidth="1"/>
    <col min="8320" max="8320" width="10.125" bestFit="1" customWidth="1"/>
    <col min="8321" max="8324" width="8.625" bestFit="1" customWidth="1"/>
    <col min="8325" max="8325" width="5.625" bestFit="1" customWidth="1"/>
    <col min="8326" max="8326" width="17.375" bestFit="1" customWidth="1"/>
    <col min="8327" max="8327" width="21.875" bestFit="1" customWidth="1"/>
    <col min="8328" max="8328" width="57.375" bestFit="1" customWidth="1"/>
    <col min="8329" max="8329" width="25.375" bestFit="1" customWidth="1"/>
    <col min="8330" max="8330" width="15.625" customWidth="1"/>
    <col min="8331" max="8331" width="32.125" bestFit="1" customWidth="1"/>
    <col min="8332" max="8332" width="22.625" bestFit="1" customWidth="1"/>
    <col min="8333" max="8333" width="24.875" bestFit="1" customWidth="1"/>
    <col min="8334" max="8334" width="25.625" customWidth="1"/>
    <col min="8335" max="8335" width="31.375" bestFit="1" customWidth="1"/>
    <col min="8336" max="8336" width="24.625" customWidth="1"/>
    <col min="8337" max="8337" width="31.625" bestFit="1" customWidth="1"/>
    <col min="8338" max="8338" width="51.625" bestFit="1" customWidth="1"/>
    <col min="8339" max="8339" width="57.375" bestFit="1" customWidth="1"/>
    <col min="8340" max="8340" width="57.125" bestFit="1" customWidth="1"/>
    <col min="8341" max="8341" width="62.875" bestFit="1" customWidth="1"/>
    <col min="8342" max="8342" width="32.125" bestFit="1" customWidth="1"/>
    <col min="8448" max="8448" width="16.875" bestFit="1" customWidth="1"/>
    <col min="8449" max="8449" width="13.125" bestFit="1" customWidth="1"/>
    <col min="8450" max="8450" width="16.875" bestFit="1" customWidth="1"/>
    <col min="8451" max="8451" width="13.875" bestFit="1" customWidth="1"/>
    <col min="8452" max="8452" width="18.875" bestFit="1" customWidth="1"/>
    <col min="8453" max="8453" width="10.375" bestFit="1" customWidth="1"/>
    <col min="8454" max="8455" width="18.875" bestFit="1" customWidth="1"/>
    <col min="8456" max="8456" width="13.375" customWidth="1"/>
    <col min="8457" max="8458" width="18.875" bestFit="1" customWidth="1"/>
    <col min="8459" max="8459" width="15.125" bestFit="1" customWidth="1"/>
    <col min="8460" max="8460" width="15.375" bestFit="1" customWidth="1"/>
    <col min="8461" max="8461" width="16.625" customWidth="1"/>
    <col min="8462" max="8462" width="13.375" customWidth="1"/>
    <col min="8463" max="8463" width="16.875" bestFit="1" customWidth="1"/>
    <col min="8464" max="8464" width="14.875" bestFit="1" customWidth="1"/>
    <col min="8465" max="8465" width="20.625" bestFit="1" customWidth="1"/>
    <col min="8466" max="8466" width="18.375" bestFit="1" customWidth="1"/>
    <col min="8467" max="8467" width="13.375" bestFit="1" customWidth="1"/>
    <col min="8468" max="8468" width="36.375" customWidth="1"/>
    <col min="8469" max="8469" width="36.375" bestFit="1" customWidth="1"/>
    <col min="8470" max="8470" width="24.625" customWidth="1"/>
    <col min="8471" max="8471" width="36.375" bestFit="1" customWidth="1"/>
    <col min="8472" max="8472" width="21.625" bestFit="1" customWidth="1"/>
    <col min="8473" max="8473" width="21.875" bestFit="1" customWidth="1"/>
    <col min="8474" max="8474" width="21.625" bestFit="1" customWidth="1"/>
    <col min="8475" max="8475" width="13.875" bestFit="1" customWidth="1"/>
    <col min="8476" max="8476" width="10.375" bestFit="1" customWidth="1"/>
    <col min="8477" max="8477" width="18.875" bestFit="1" customWidth="1"/>
    <col min="8478" max="8478" width="10.375" bestFit="1" customWidth="1"/>
    <col min="8479" max="8479" width="98.875" bestFit="1" customWidth="1"/>
    <col min="8480" max="8480" width="17.625" bestFit="1" customWidth="1"/>
    <col min="8481" max="8481" width="26.625" bestFit="1" customWidth="1"/>
    <col min="8482" max="8482" width="23.375" bestFit="1" customWidth="1"/>
    <col min="8483" max="8483" width="15.375" bestFit="1" customWidth="1"/>
    <col min="8484" max="8484" width="202.625" customWidth="1"/>
    <col min="8485" max="8485" width="46.625" bestFit="1" customWidth="1"/>
    <col min="8486" max="8486" width="26.125" bestFit="1" customWidth="1"/>
    <col min="8487" max="8487" width="18.875" bestFit="1" customWidth="1"/>
    <col min="8488" max="8488" width="42.125" bestFit="1" customWidth="1"/>
    <col min="8489" max="8490" width="18.875" bestFit="1" customWidth="1"/>
    <col min="8491" max="8491" width="22.375" bestFit="1" customWidth="1"/>
    <col min="8492" max="8492" width="17.625" bestFit="1" customWidth="1"/>
    <col min="8493" max="8493" width="17.375" bestFit="1" customWidth="1"/>
    <col min="8494" max="8494" width="15.125" bestFit="1" customWidth="1"/>
    <col min="8495" max="8495" width="27.875" bestFit="1" customWidth="1"/>
    <col min="8496" max="8496" width="31.375" bestFit="1" customWidth="1"/>
    <col min="8497" max="8497" width="14.125" bestFit="1" customWidth="1"/>
    <col min="8498" max="8498" width="10.625" customWidth="1"/>
    <col min="8499" max="8500" width="20.625" customWidth="1"/>
    <col min="8501" max="8501" width="19.375" bestFit="1" customWidth="1"/>
    <col min="8502" max="8502" width="21.875" bestFit="1" customWidth="1"/>
    <col min="8503" max="8503" width="25.625" customWidth="1"/>
    <col min="8504" max="8504" width="25.875" bestFit="1" customWidth="1"/>
    <col min="8505" max="8505" width="19.625" customWidth="1"/>
    <col min="8506" max="8506" width="35.125" bestFit="1" customWidth="1"/>
    <col min="8507" max="8507" width="27.125" bestFit="1" customWidth="1"/>
    <col min="8508" max="8508" width="36.125" bestFit="1" customWidth="1"/>
    <col min="8509" max="8509" width="27.875" bestFit="1" customWidth="1"/>
    <col min="8510" max="8510" width="19.375" bestFit="1" customWidth="1"/>
    <col min="8511" max="8511" width="17.625" bestFit="1" customWidth="1"/>
    <col min="8512" max="8512" width="30.125" bestFit="1" customWidth="1"/>
    <col min="8513" max="8513" width="25.625" customWidth="1"/>
    <col min="8514" max="8514" width="23.125" bestFit="1" customWidth="1"/>
    <col min="8515" max="8515" width="25.625" customWidth="1"/>
    <col min="8516" max="8516" width="23.125" bestFit="1" customWidth="1"/>
    <col min="8517" max="8517" width="19.625" bestFit="1" customWidth="1"/>
    <col min="8518" max="8518" width="23.125" bestFit="1" customWidth="1"/>
    <col min="8519" max="8519" width="24.625" customWidth="1"/>
    <col min="8520" max="8520" width="23.125" bestFit="1" customWidth="1"/>
    <col min="8521" max="8521" width="19.625" bestFit="1" customWidth="1"/>
    <col min="8522" max="8522" width="17.625" bestFit="1" customWidth="1"/>
    <col min="8523" max="8524" width="21.875" bestFit="1" customWidth="1"/>
    <col min="8525" max="8525" width="25.625" customWidth="1"/>
    <col min="8526" max="8526" width="23.125" bestFit="1" customWidth="1"/>
    <col min="8527" max="8527" width="25.625" customWidth="1"/>
    <col min="8528" max="8528" width="23.125" bestFit="1" customWidth="1"/>
    <col min="8529" max="8529" width="19.625" bestFit="1" customWidth="1"/>
    <col min="8530" max="8530" width="23.125" bestFit="1" customWidth="1"/>
    <col min="8531" max="8531" width="24.625" customWidth="1"/>
    <col min="8532" max="8532" width="23.125" bestFit="1" customWidth="1"/>
    <col min="8533" max="8533" width="19.625" bestFit="1" customWidth="1"/>
    <col min="8534" max="8534" width="27.375" bestFit="1" customWidth="1"/>
    <col min="8535" max="8535" width="25.625" customWidth="1"/>
    <col min="8536" max="8536" width="27.375" bestFit="1" customWidth="1"/>
    <col min="8537" max="8537" width="23.875" bestFit="1" customWidth="1"/>
    <col min="8538" max="8538" width="27.375" bestFit="1" customWidth="1"/>
    <col min="8539" max="8539" width="24.625" customWidth="1"/>
    <col min="8540" max="8540" width="27.375" bestFit="1" customWidth="1"/>
    <col min="8541" max="8541" width="23.875" bestFit="1" customWidth="1"/>
    <col min="8542" max="8542" width="17.625" customWidth="1"/>
    <col min="8543" max="8543" width="18.125" customWidth="1"/>
    <col min="8544" max="8545" width="29.125" bestFit="1" customWidth="1"/>
    <col min="8546" max="8546" width="33.375" bestFit="1" customWidth="1"/>
    <col min="8547" max="8547" width="32.375" bestFit="1" customWidth="1"/>
    <col min="8548" max="8549" width="28.875" bestFit="1" customWidth="1"/>
    <col min="8550" max="8550" width="33.125" bestFit="1" customWidth="1"/>
    <col min="8551" max="8551" width="29.125" bestFit="1" customWidth="1"/>
    <col min="8552" max="8553" width="25.375" bestFit="1" customWidth="1"/>
    <col min="8554" max="8554" width="29.875" customWidth="1"/>
    <col min="8555" max="8555" width="16.375" bestFit="1" customWidth="1"/>
    <col min="8556" max="8556" width="19.375" bestFit="1" customWidth="1"/>
    <col min="8557" max="8557" width="27.625" bestFit="1" customWidth="1"/>
    <col min="8558" max="8558" width="10.375" bestFit="1" customWidth="1"/>
    <col min="8559" max="8559" width="18.875" bestFit="1" customWidth="1"/>
    <col min="8560" max="8560" width="24.625" customWidth="1"/>
    <col min="8561" max="8561" width="17.625" bestFit="1" customWidth="1"/>
    <col min="8562" max="8562" width="24.875" bestFit="1" customWidth="1"/>
    <col min="8563" max="8563" width="21.875" bestFit="1" customWidth="1"/>
    <col min="8564" max="8564" width="12.125" bestFit="1" customWidth="1"/>
    <col min="8565" max="8565" width="17.375" bestFit="1" customWidth="1"/>
    <col min="8566" max="8566" width="13.375" bestFit="1" customWidth="1"/>
    <col min="8567" max="8567" width="17.375" bestFit="1" customWidth="1"/>
    <col min="8568" max="8575" width="8.625" bestFit="1" customWidth="1"/>
    <col min="8576" max="8576" width="10.125" bestFit="1" customWidth="1"/>
    <col min="8577" max="8580" width="8.625" bestFit="1" customWidth="1"/>
    <col min="8581" max="8581" width="5.625" bestFit="1" customWidth="1"/>
    <col min="8582" max="8582" width="17.375" bestFit="1" customWidth="1"/>
    <col min="8583" max="8583" width="21.875" bestFit="1" customWidth="1"/>
    <col min="8584" max="8584" width="57.375" bestFit="1" customWidth="1"/>
    <col min="8585" max="8585" width="25.375" bestFit="1" customWidth="1"/>
    <col min="8586" max="8586" width="15.625" customWidth="1"/>
    <col min="8587" max="8587" width="32.125" bestFit="1" customWidth="1"/>
    <col min="8588" max="8588" width="22.625" bestFit="1" customWidth="1"/>
    <col min="8589" max="8589" width="24.875" bestFit="1" customWidth="1"/>
    <col min="8590" max="8590" width="25.625" customWidth="1"/>
    <col min="8591" max="8591" width="31.375" bestFit="1" customWidth="1"/>
    <col min="8592" max="8592" width="24.625" customWidth="1"/>
    <col min="8593" max="8593" width="31.625" bestFit="1" customWidth="1"/>
    <col min="8594" max="8594" width="51.625" bestFit="1" customWidth="1"/>
    <col min="8595" max="8595" width="57.375" bestFit="1" customWidth="1"/>
    <col min="8596" max="8596" width="57.125" bestFit="1" customWidth="1"/>
    <col min="8597" max="8597" width="62.875" bestFit="1" customWidth="1"/>
    <col min="8598" max="8598" width="32.125" bestFit="1" customWidth="1"/>
    <col min="8704" max="8704" width="16.875" bestFit="1" customWidth="1"/>
    <col min="8705" max="8705" width="13.125" bestFit="1" customWidth="1"/>
    <col min="8706" max="8706" width="16.875" bestFit="1" customWidth="1"/>
    <col min="8707" max="8707" width="13.875" bestFit="1" customWidth="1"/>
    <col min="8708" max="8708" width="18.875" bestFit="1" customWidth="1"/>
    <col min="8709" max="8709" width="10.375" bestFit="1" customWidth="1"/>
    <col min="8710" max="8711" width="18.875" bestFit="1" customWidth="1"/>
    <col min="8712" max="8712" width="13.375" customWidth="1"/>
    <col min="8713" max="8714" width="18.875" bestFit="1" customWidth="1"/>
    <col min="8715" max="8715" width="15.125" bestFit="1" customWidth="1"/>
    <col min="8716" max="8716" width="15.375" bestFit="1" customWidth="1"/>
    <col min="8717" max="8717" width="16.625" customWidth="1"/>
    <col min="8718" max="8718" width="13.375" customWidth="1"/>
    <col min="8719" max="8719" width="16.875" bestFit="1" customWidth="1"/>
    <col min="8720" max="8720" width="14.875" bestFit="1" customWidth="1"/>
    <col min="8721" max="8721" width="20.625" bestFit="1" customWidth="1"/>
    <col min="8722" max="8722" width="18.375" bestFit="1" customWidth="1"/>
    <col min="8723" max="8723" width="13.375" bestFit="1" customWidth="1"/>
    <col min="8724" max="8724" width="36.375" customWidth="1"/>
    <col min="8725" max="8725" width="36.375" bestFit="1" customWidth="1"/>
    <col min="8726" max="8726" width="24.625" customWidth="1"/>
    <col min="8727" max="8727" width="36.375" bestFit="1" customWidth="1"/>
    <col min="8728" max="8728" width="21.625" bestFit="1" customWidth="1"/>
    <col min="8729" max="8729" width="21.875" bestFit="1" customWidth="1"/>
    <col min="8730" max="8730" width="21.625" bestFit="1" customWidth="1"/>
    <col min="8731" max="8731" width="13.875" bestFit="1" customWidth="1"/>
    <col min="8732" max="8732" width="10.375" bestFit="1" customWidth="1"/>
    <col min="8733" max="8733" width="18.875" bestFit="1" customWidth="1"/>
    <col min="8734" max="8734" width="10.375" bestFit="1" customWidth="1"/>
    <col min="8735" max="8735" width="98.875" bestFit="1" customWidth="1"/>
    <col min="8736" max="8736" width="17.625" bestFit="1" customWidth="1"/>
    <col min="8737" max="8737" width="26.625" bestFit="1" customWidth="1"/>
    <col min="8738" max="8738" width="23.375" bestFit="1" customWidth="1"/>
    <col min="8739" max="8739" width="15.375" bestFit="1" customWidth="1"/>
    <col min="8740" max="8740" width="202.625" customWidth="1"/>
    <col min="8741" max="8741" width="46.625" bestFit="1" customWidth="1"/>
    <col min="8742" max="8742" width="26.125" bestFit="1" customWidth="1"/>
    <col min="8743" max="8743" width="18.875" bestFit="1" customWidth="1"/>
    <col min="8744" max="8744" width="42.125" bestFit="1" customWidth="1"/>
    <col min="8745" max="8746" width="18.875" bestFit="1" customWidth="1"/>
    <col min="8747" max="8747" width="22.375" bestFit="1" customWidth="1"/>
    <col min="8748" max="8748" width="17.625" bestFit="1" customWidth="1"/>
    <col min="8749" max="8749" width="17.375" bestFit="1" customWidth="1"/>
    <col min="8750" max="8750" width="15.125" bestFit="1" customWidth="1"/>
    <col min="8751" max="8751" width="27.875" bestFit="1" customWidth="1"/>
    <col min="8752" max="8752" width="31.375" bestFit="1" customWidth="1"/>
    <col min="8753" max="8753" width="14.125" bestFit="1" customWidth="1"/>
    <col min="8754" max="8754" width="10.625" customWidth="1"/>
    <col min="8755" max="8756" width="20.625" customWidth="1"/>
    <col min="8757" max="8757" width="19.375" bestFit="1" customWidth="1"/>
    <col min="8758" max="8758" width="21.875" bestFit="1" customWidth="1"/>
    <col min="8759" max="8759" width="25.625" customWidth="1"/>
    <col min="8760" max="8760" width="25.875" bestFit="1" customWidth="1"/>
    <col min="8761" max="8761" width="19.625" customWidth="1"/>
    <col min="8762" max="8762" width="35.125" bestFit="1" customWidth="1"/>
    <col min="8763" max="8763" width="27.125" bestFit="1" customWidth="1"/>
    <col min="8764" max="8764" width="36.125" bestFit="1" customWidth="1"/>
    <col min="8765" max="8765" width="27.875" bestFit="1" customWidth="1"/>
    <col min="8766" max="8766" width="19.375" bestFit="1" customWidth="1"/>
    <col min="8767" max="8767" width="17.625" bestFit="1" customWidth="1"/>
    <col min="8768" max="8768" width="30.125" bestFit="1" customWidth="1"/>
    <col min="8769" max="8769" width="25.625" customWidth="1"/>
    <col min="8770" max="8770" width="23.125" bestFit="1" customWidth="1"/>
    <col min="8771" max="8771" width="25.625" customWidth="1"/>
    <col min="8772" max="8772" width="23.125" bestFit="1" customWidth="1"/>
    <col min="8773" max="8773" width="19.625" bestFit="1" customWidth="1"/>
    <col min="8774" max="8774" width="23.125" bestFit="1" customWidth="1"/>
    <col min="8775" max="8775" width="24.625" customWidth="1"/>
    <col min="8776" max="8776" width="23.125" bestFit="1" customWidth="1"/>
    <col min="8777" max="8777" width="19.625" bestFit="1" customWidth="1"/>
    <col min="8778" max="8778" width="17.625" bestFit="1" customWidth="1"/>
    <col min="8779" max="8780" width="21.875" bestFit="1" customWidth="1"/>
    <col min="8781" max="8781" width="25.625" customWidth="1"/>
    <col min="8782" max="8782" width="23.125" bestFit="1" customWidth="1"/>
    <col min="8783" max="8783" width="25.625" customWidth="1"/>
    <col min="8784" max="8784" width="23.125" bestFit="1" customWidth="1"/>
    <col min="8785" max="8785" width="19.625" bestFit="1" customWidth="1"/>
    <col min="8786" max="8786" width="23.125" bestFit="1" customWidth="1"/>
    <col min="8787" max="8787" width="24.625" customWidth="1"/>
    <col min="8788" max="8788" width="23.125" bestFit="1" customWidth="1"/>
    <col min="8789" max="8789" width="19.625" bestFit="1" customWidth="1"/>
    <col min="8790" max="8790" width="27.375" bestFit="1" customWidth="1"/>
    <col min="8791" max="8791" width="25.625" customWidth="1"/>
    <col min="8792" max="8792" width="27.375" bestFit="1" customWidth="1"/>
    <col min="8793" max="8793" width="23.875" bestFit="1" customWidth="1"/>
    <col min="8794" max="8794" width="27.375" bestFit="1" customWidth="1"/>
    <col min="8795" max="8795" width="24.625" customWidth="1"/>
    <col min="8796" max="8796" width="27.375" bestFit="1" customWidth="1"/>
    <col min="8797" max="8797" width="23.875" bestFit="1" customWidth="1"/>
    <col min="8798" max="8798" width="17.625" customWidth="1"/>
    <col min="8799" max="8799" width="18.125" customWidth="1"/>
    <col min="8800" max="8801" width="29.125" bestFit="1" customWidth="1"/>
    <col min="8802" max="8802" width="33.375" bestFit="1" customWidth="1"/>
    <col min="8803" max="8803" width="32.375" bestFit="1" customWidth="1"/>
    <col min="8804" max="8805" width="28.875" bestFit="1" customWidth="1"/>
    <col min="8806" max="8806" width="33.125" bestFit="1" customWidth="1"/>
    <col min="8807" max="8807" width="29.125" bestFit="1" customWidth="1"/>
    <col min="8808" max="8809" width="25.375" bestFit="1" customWidth="1"/>
    <col min="8810" max="8810" width="29.875" customWidth="1"/>
    <col min="8811" max="8811" width="16.375" bestFit="1" customWidth="1"/>
    <col min="8812" max="8812" width="19.375" bestFit="1" customWidth="1"/>
    <col min="8813" max="8813" width="27.625" bestFit="1" customWidth="1"/>
    <col min="8814" max="8814" width="10.375" bestFit="1" customWidth="1"/>
    <col min="8815" max="8815" width="18.875" bestFit="1" customWidth="1"/>
    <col min="8816" max="8816" width="24.625" customWidth="1"/>
    <col min="8817" max="8817" width="17.625" bestFit="1" customWidth="1"/>
    <col min="8818" max="8818" width="24.875" bestFit="1" customWidth="1"/>
    <col min="8819" max="8819" width="21.875" bestFit="1" customWidth="1"/>
    <col min="8820" max="8820" width="12.125" bestFit="1" customWidth="1"/>
    <col min="8821" max="8821" width="17.375" bestFit="1" customWidth="1"/>
    <col min="8822" max="8822" width="13.375" bestFit="1" customWidth="1"/>
    <col min="8823" max="8823" width="17.375" bestFit="1" customWidth="1"/>
    <col min="8824" max="8831" width="8.625" bestFit="1" customWidth="1"/>
    <col min="8832" max="8832" width="10.125" bestFit="1" customWidth="1"/>
    <col min="8833" max="8836" width="8.625" bestFit="1" customWidth="1"/>
    <col min="8837" max="8837" width="5.625" bestFit="1" customWidth="1"/>
    <col min="8838" max="8838" width="17.375" bestFit="1" customWidth="1"/>
    <col min="8839" max="8839" width="21.875" bestFit="1" customWidth="1"/>
    <col min="8840" max="8840" width="57.375" bestFit="1" customWidth="1"/>
    <col min="8841" max="8841" width="25.375" bestFit="1" customWidth="1"/>
    <col min="8842" max="8842" width="15.625" customWidth="1"/>
    <col min="8843" max="8843" width="32.125" bestFit="1" customWidth="1"/>
    <col min="8844" max="8844" width="22.625" bestFit="1" customWidth="1"/>
    <col min="8845" max="8845" width="24.875" bestFit="1" customWidth="1"/>
    <col min="8846" max="8846" width="25.625" customWidth="1"/>
    <col min="8847" max="8847" width="31.375" bestFit="1" customWidth="1"/>
    <col min="8848" max="8848" width="24.625" customWidth="1"/>
    <col min="8849" max="8849" width="31.625" bestFit="1" customWidth="1"/>
    <col min="8850" max="8850" width="51.625" bestFit="1" customWidth="1"/>
    <col min="8851" max="8851" width="57.375" bestFit="1" customWidth="1"/>
    <col min="8852" max="8852" width="57.125" bestFit="1" customWidth="1"/>
    <col min="8853" max="8853" width="62.875" bestFit="1" customWidth="1"/>
    <col min="8854" max="8854" width="32.125" bestFit="1" customWidth="1"/>
    <col min="8960" max="8960" width="16.875" bestFit="1" customWidth="1"/>
    <col min="8961" max="8961" width="13.125" bestFit="1" customWidth="1"/>
    <col min="8962" max="8962" width="16.875" bestFit="1" customWidth="1"/>
    <col min="8963" max="8963" width="13.875" bestFit="1" customWidth="1"/>
    <col min="8964" max="8964" width="18.875" bestFit="1" customWidth="1"/>
    <col min="8965" max="8965" width="10.375" bestFit="1" customWidth="1"/>
    <col min="8966" max="8967" width="18.875" bestFit="1" customWidth="1"/>
    <col min="8968" max="8968" width="13.375" customWidth="1"/>
    <col min="8969" max="8970" width="18.875" bestFit="1" customWidth="1"/>
    <col min="8971" max="8971" width="15.125" bestFit="1" customWidth="1"/>
    <col min="8972" max="8972" width="15.375" bestFit="1" customWidth="1"/>
    <col min="8973" max="8973" width="16.625" customWidth="1"/>
    <col min="8974" max="8974" width="13.375" customWidth="1"/>
    <col min="8975" max="8975" width="16.875" bestFit="1" customWidth="1"/>
    <col min="8976" max="8976" width="14.875" bestFit="1" customWidth="1"/>
    <col min="8977" max="8977" width="20.625" bestFit="1" customWidth="1"/>
    <col min="8978" max="8978" width="18.375" bestFit="1" customWidth="1"/>
    <col min="8979" max="8979" width="13.375" bestFit="1" customWidth="1"/>
    <col min="8980" max="8980" width="36.375" customWidth="1"/>
    <col min="8981" max="8981" width="36.375" bestFit="1" customWidth="1"/>
    <col min="8982" max="8982" width="24.625" customWidth="1"/>
    <col min="8983" max="8983" width="36.375" bestFit="1" customWidth="1"/>
    <col min="8984" max="8984" width="21.625" bestFit="1" customWidth="1"/>
    <col min="8985" max="8985" width="21.875" bestFit="1" customWidth="1"/>
    <col min="8986" max="8986" width="21.625" bestFit="1" customWidth="1"/>
    <col min="8987" max="8987" width="13.875" bestFit="1" customWidth="1"/>
    <col min="8988" max="8988" width="10.375" bestFit="1" customWidth="1"/>
    <col min="8989" max="8989" width="18.875" bestFit="1" customWidth="1"/>
    <col min="8990" max="8990" width="10.375" bestFit="1" customWidth="1"/>
    <col min="8991" max="8991" width="98.875" bestFit="1" customWidth="1"/>
    <col min="8992" max="8992" width="17.625" bestFit="1" customWidth="1"/>
    <col min="8993" max="8993" width="26.625" bestFit="1" customWidth="1"/>
    <col min="8994" max="8994" width="23.375" bestFit="1" customWidth="1"/>
    <col min="8995" max="8995" width="15.375" bestFit="1" customWidth="1"/>
    <col min="8996" max="8996" width="202.625" customWidth="1"/>
    <col min="8997" max="8997" width="46.625" bestFit="1" customWidth="1"/>
    <col min="8998" max="8998" width="26.125" bestFit="1" customWidth="1"/>
    <col min="8999" max="8999" width="18.875" bestFit="1" customWidth="1"/>
    <col min="9000" max="9000" width="42.125" bestFit="1" customWidth="1"/>
    <col min="9001" max="9002" width="18.875" bestFit="1" customWidth="1"/>
    <col min="9003" max="9003" width="22.375" bestFit="1" customWidth="1"/>
    <col min="9004" max="9004" width="17.625" bestFit="1" customWidth="1"/>
    <col min="9005" max="9005" width="17.375" bestFit="1" customWidth="1"/>
    <col min="9006" max="9006" width="15.125" bestFit="1" customWidth="1"/>
    <col min="9007" max="9007" width="27.875" bestFit="1" customWidth="1"/>
    <col min="9008" max="9008" width="31.375" bestFit="1" customWidth="1"/>
    <col min="9009" max="9009" width="14.125" bestFit="1" customWidth="1"/>
    <col min="9010" max="9010" width="10.625" customWidth="1"/>
    <col min="9011" max="9012" width="20.625" customWidth="1"/>
    <col min="9013" max="9013" width="19.375" bestFit="1" customWidth="1"/>
    <col min="9014" max="9014" width="21.875" bestFit="1" customWidth="1"/>
    <col min="9015" max="9015" width="25.625" customWidth="1"/>
    <col min="9016" max="9016" width="25.875" bestFit="1" customWidth="1"/>
    <col min="9017" max="9017" width="19.625" customWidth="1"/>
    <col min="9018" max="9018" width="35.125" bestFit="1" customWidth="1"/>
    <col min="9019" max="9019" width="27.125" bestFit="1" customWidth="1"/>
    <col min="9020" max="9020" width="36.125" bestFit="1" customWidth="1"/>
    <col min="9021" max="9021" width="27.875" bestFit="1" customWidth="1"/>
    <col min="9022" max="9022" width="19.375" bestFit="1" customWidth="1"/>
    <col min="9023" max="9023" width="17.625" bestFit="1" customWidth="1"/>
    <col min="9024" max="9024" width="30.125" bestFit="1" customWidth="1"/>
    <col min="9025" max="9025" width="25.625" customWidth="1"/>
    <col min="9026" max="9026" width="23.125" bestFit="1" customWidth="1"/>
    <col min="9027" max="9027" width="25.625" customWidth="1"/>
    <col min="9028" max="9028" width="23.125" bestFit="1" customWidth="1"/>
    <col min="9029" max="9029" width="19.625" bestFit="1" customWidth="1"/>
    <col min="9030" max="9030" width="23.125" bestFit="1" customWidth="1"/>
    <col min="9031" max="9031" width="24.625" customWidth="1"/>
    <col min="9032" max="9032" width="23.125" bestFit="1" customWidth="1"/>
    <col min="9033" max="9033" width="19.625" bestFit="1" customWidth="1"/>
    <col min="9034" max="9034" width="17.625" bestFit="1" customWidth="1"/>
    <col min="9035" max="9036" width="21.875" bestFit="1" customWidth="1"/>
    <col min="9037" max="9037" width="25.625" customWidth="1"/>
    <col min="9038" max="9038" width="23.125" bestFit="1" customWidth="1"/>
    <col min="9039" max="9039" width="25.625" customWidth="1"/>
    <col min="9040" max="9040" width="23.125" bestFit="1" customWidth="1"/>
    <col min="9041" max="9041" width="19.625" bestFit="1" customWidth="1"/>
    <col min="9042" max="9042" width="23.125" bestFit="1" customWidth="1"/>
    <col min="9043" max="9043" width="24.625" customWidth="1"/>
    <col min="9044" max="9044" width="23.125" bestFit="1" customWidth="1"/>
    <col min="9045" max="9045" width="19.625" bestFit="1" customWidth="1"/>
    <col min="9046" max="9046" width="27.375" bestFit="1" customWidth="1"/>
    <col min="9047" max="9047" width="25.625" customWidth="1"/>
    <col min="9048" max="9048" width="27.375" bestFit="1" customWidth="1"/>
    <col min="9049" max="9049" width="23.875" bestFit="1" customWidth="1"/>
    <col min="9050" max="9050" width="27.375" bestFit="1" customWidth="1"/>
    <col min="9051" max="9051" width="24.625" customWidth="1"/>
    <col min="9052" max="9052" width="27.375" bestFit="1" customWidth="1"/>
    <col min="9053" max="9053" width="23.875" bestFit="1" customWidth="1"/>
    <col min="9054" max="9054" width="17.625" customWidth="1"/>
    <col min="9055" max="9055" width="18.125" customWidth="1"/>
    <col min="9056" max="9057" width="29.125" bestFit="1" customWidth="1"/>
    <col min="9058" max="9058" width="33.375" bestFit="1" customWidth="1"/>
    <col min="9059" max="9059" width="32.375" bestFit="1" customWidth="1"/>
    <col min="9060" max="9061" width="28.875" bestFit="1" customWidth="1"/>
    <col min="9062" max="9062" width="33.125" bestFit="1" customWidth="1"/>
    <col min="9063" max="9063" width="29.125" bestFit="1" customWidth="1"/>
    <col min="9064" max="9065" width="25.375" bestFit="1" customWidth="1"/>
    <col min="9066" max="9066" width="29.875" customWidth="1"/>
    <col min="9067" max="9067" width="16.375" bestFit="1" customWidth="1"/>
    <col min="9068" max="9068" width="19.375" bestFit="1" customWidth="1"/>
    <col min="9069" max="9069" width="27.625" bestFit="1" customWidth="1"/>
    <col min="9070" max="9070" width="10.375" bestFit="1" customWidth="1"/>
    <col min="9071" max="9071" width="18.875" bestFit="1" customWidth="1"/>
    <col min="9072" max="9072" width="24.625" customWidth="1"/>
    <col min="9073" max="9073" width="17.625" bestFit="1" customWidth="1"/>
    <col min="9074" max="9074" width="24.875" bestFit="1" customWidth="1"/>
    <col min="9075" max="9075" width="21.875" bestFit="1" customWidth="1"/>
    <col min="9076" max="9076" width="12.125" bestFit="1" customWidth="1"/>
    <col min="9077" max="9077" width="17.375" bestFit="1" customWidth="1"/>
    <col min="9078" max="9078" width="13.375" bestFit="1" customWidth="1"/>
    <col min="9079" max="9079" width="17.375" bestFit="1" customWidth="1"/>
    <col min="9080" max="9087" width="8.625" bestFit="1" customWidth="1"/>
    <col min="9088" max="9088" width="10.125" bestFit="1" customWidth="1"/>
    <col min="9089" max="9092" width="8.625" bestFit="1" customWidth="1"/>
    <col min="9093" max="9093" width="5.625" bestFit="1" customWidth="1"/>
    <col min="9094" max="9094" width="17.375" bestFit="1" customWidth="1"/>
    <col min="9095" max="9095" width="21.875" bestFit="1" customWidth="1"/>
    <col min="9096" max="9096" width="57.375" bestFit="1" customWidth="1"/>
    <col min="9097" max="9097" width="25.375" bestFit="1" customWidth="1"/>
    <col min="9098" max="9098" width="15.625" customWidth="1"/>
    <col min="9099" max="9099" width="32.125" bestFit="1" customWidth="1"/>
    <col min="9100" max="9100" width="22.625" bestFit="1" customWidth="1"/>
    <col min="9101" max="9101" width="24.875" bestFit="1" customWidth="1"/>
    <col min="9102" max="9102" width="25.625" customWidth="1"/>
    <col min="9103" max="9103" width="31.375" bestFit="1" customWidth="1"/>
    <col min="9104" max="9104" width="24.625" customWidth="1"/>
    <col min="9105" max="9105" width="31.625" bestFit="1" customWidth="1"/>
    <col min="9106" max="9106" width="51.625" bestFit="1" customWidth="1"/>
    <col min="9107" max="9107" width="57.375" bestFit="1" customWidth="1"/>
    <col min="9108" max="9108" width="57.125" bestFit="1" customWidth="1"/>
    <col min="9109" max="9109" width="62.875" bestFit="1" customWidth="1"/>
    <col min="9110" max="9110" width="32.125" bestFit="1" customWidth="1"/>
    <col min="9216" max="9216" width="16.875" bestFit="1" customWidth="1"/>
    <col min="9217" max="9217" width="13.125" bestFit="1" customWidth="1"/>
    <col min="9218" max="9218" width="16.875" bestFit="1" customWidth="1"/>
    <col min="9219" max="9219" width="13.875" bestFit="1" customWidth="1"/>
    <col min="9220" max="9220" width="18.875" bestFit="1" customWidth="1"/>
    <col min="9221" max="9221" width="10.375" bestFit="1" customWidth="1"/>
    <col min="9222" max="9223" width="18.875" bestFit="1" customWidth="1"/>
    <col min="9224" max="9224" width="13.375" customWidth="1"/>
    <col min="9225" max="9226" width="18.875" bestFit="1" customWidth="1"/>
    <col min="9227" max="9227" width="15.125" bestFit="1" customWidth="1"/>
    <col min="9228" max="9228" width="15.375" bestFit="1" customWidth="1"/>
    <col min="9229" max="9229" width="16.625" customWidth="1"/>
    <col min="9230" max="9230" width="13.375" customWidth="1"/>
    <col min="9231" max="9231" width="16.875" bestFit="1" customWidth="1"/>
    <col min="9232" max="9232" width="14.875" bestFit="1" customWidth="1"/>
    <col min="9233" max="9233" width="20.625" bestFit="1" customWidth="1"/>
    <col min="9234" max="9234" width="18.375" bestFit="1" customWidth="1"/>
    <col min="9235" max="9235" width="13.375" bestFit="1" customWidth="1"/>
    <col min="9236" max="9236" width="36.375" customWidth="1"/>
    <col min="9237" max="9237" width="36.375" bestFit="1" customWidth="1"/>
    <col min="9238" max="9238" width="24.625" customWidth="1"/>
    <col min="9239" max="9239" width="36.375" bestFit="1" customWidth="1"/>
    <col min="9240" max="9240" width="21.625" bestFit="1" customWidth="1"/>
    <col min="9241" max="9241" width="21.875" bestFit="1" customWidth="1"/>
    <col min="9242" max="9242" width="21.625" bestFit="1" customWidth="1"/>
    <col min="9243" max="9243" width="13.875" bestFit="1" customWidth="1"/>
    <col min="9244" max="9244" width="10.375" bestFit="1" customWidth="1"/>
    <col min="9245" max="9245" width="18.875" bestFit="1" customWidth="1"/>
    <col min="9246" max="9246" width="10.375" bestFit="1" customWidth="1"/>
    <col min="9247" max="9247" width="98.875" bestFit="1" customWidth="1"/>
    <col min="9248" max="9248" width="17.625" bestFit="1" customWidth="1"/>
    <col min="9249" max="9249" width="26.625" bestFit="1" customWidth="1"/>
    <col min="9250" max="9250" width="23.375" bestFit="1" customWidth="1"/>
    <col min="9251" max="9251" width="15.375" bestFit="1" customWidth="1"/>
    <col min="9252" max="9252" width="202.625" customWidth="1"/>
    <col min="9253" max="9253" width="46.625" bestFit="1" customWidth="1"/>
    <col min="9254" max="9254" width="26.125" bestFit="1" customWidth="1"/>
    <col min="9255" max="9255" width="18.875" bestFit="1" customWidth="1"/>
    <col min="9256" max="9256" width="42.125" bestFit="1" customWidth="1"/>
    <col min="9257" max="9258" width="18.875" bestFit="1" customWidth="1"/>
    <col min="9259" max="9259" width="22.375" bestFit="1" customWidth="1"/>
    <col min="9260" max="9260" width="17.625" bestFit="1" customWidth="1"/>
    <col min="9261" max="9261" width="17.375" bestFit="1" customWidth="1"/>
    <col min="9262" max="9262" width="15.125" bestFit="1" customWidth="1"/>
    <col min="9263" max="9263" width="27.875" bestFit="1" customWidth="1"/>
    <col min="9264" max="9264" width="31.375" bestFit="1" customWidth="1"/>
    <col min="9265" max="9265" width="14.125" bestFit="1" customWidth="1"/>
    <col min="9266" max="9266" width="10.625" customWidth="1"/>
    <col min="9267" max="9268" width="20.625" customWidth="1"/>
    <col min="9269" max="9269" width="19.375" bestFit="1" customWidth="1"/>
    <col min="9270" max="9270" width="21.875" bestFit="1" customWidth="1"/>
    <col min="9271" max="9271" width="25.625" customWidth="1"/>
    <col min="9272" max="9272" width="25.875" bestFit="1" customWidth="1"/>
    <col min="9273" max="9273" width="19.625" customWidth="1"/>
    <col min="9274" max="9274" width="35.125" bestFit="1" customWidth="1"/>
    <col min="9275" max="9275" width="27.125" bestFit="1" customWidth="1"/>
    <col min="9276" max="9276" width="36.125" bestFit="1" customWidth="1"/>
    <col min="9277" max="9277" width="27.875" bestFit="1" customWidth="1"/>
    <col min="9278" max="9278" width="19.375" bestFit="1" customWidth="1"/>
    <col min="9279" max="9279" width="17.625" bestFit="1" customWidth="1"/>
    <col min="9280" max="9280" width="30.125" bestFit="1" customWidth="1"/>
    <col min="9281" max="9281" width="25.625" customWidth="1"/>
    <col min="9282" max="9282" width="23.125" bestFit="1" customWidth="1"/>
    <col min="9283" max="9283" width="25.625" customWidth="1"/>
    <col min="9284" max="9284" width="23.125" bestFit="1" customWidth="1"/>
    <col min="9285" max="9285" width="19.625" bestFit="1" customWidth="1"/>
    <col min="9286" max="9286" width="23.125" bestFit="1" customWidth="1"/>
    <col min="9287" max="9287" width="24.625" customWidth="1"/>
    <col min="9288" max="9288" width="23.125" bestFit="1" customWidth="1"/>
    <col min="9289" max="9289" width="19.625" bestFit="1" customWidth="1"/>
    <col min="9290" max="9290" width="17.625" bestFit="1" customWidth="1"/>
    <col min="9291" max="9292" width="21.875" bestFit="1" customWidth="1"/>
    <col min="9293" max="9293" width="25.625" customWidth="1"/>
    <col min="9294" max="9294" width="23.125" bestFit="1" customWidth="1"/>
    <col min="9295" max="9295" width="25.625" customWidth="1"/>
    <col min="9296" max="9296" width="23.125" bestFit="1" customWidth="1"/>
    <col min="9297" max="9297" width="19.625" bestFit="1" customWidth="1"/>
    <col min="9298" max="9298" width="23.125" bestFit="1" customWidth="1"/>
    <col min="9299" max="9299" width="24.625" customWidth="1"/>
    <col min="9300" max="9300" width="23.125" bestFit="1" customWidth="1"/>
    <col min="9301" max="9301" width="19.625" bestFit="1" customWidth="1"/>
    <col min="9302" max="9302" width="27.375" bestFit="1" customWidth="1"/>
    <col min="9303" max="9303" width="25.625" customWidth="1"/>
    <col min="9304" max="9304" width="27.375" bestFit="1" customWidth="1"/>
    <col min="9305" max="9305" width="23.875" bestFit="1" customWidth="1"/>
    <col min="9306" max="9306" width="27.375" bestFit="1" customWidth="1"/>
    <col min="9307" max="9307" width="24.625" customWidth="1"/>
    <col min="9308" max="9308" width="27.375" bestFit="1" customWidth="1"/>
    <col min="9309" max="9309" width="23.875" bestFit="1" customWidth="1"/>
    <col min="9310" max="9310" width="17.625" customWidth="1"/>
    <col min="9311" max="9311" width="18.125" customWidth="1"/>
    <col min="9312" max="9313" width="29.125" bestFit="1" customWidth="1"/>
    <col min="9314" max="9314" width="33.375" bestFit="1" customWidth="1"/>
    <col min="9315" max="9315" width="32.375" bestFit="1" customWidth="1"/>
    <col min="9316" max="9317" width="28.875" bestFit="1" customWidth="1"/>
    <col min="9318" max="9318" width="33.125" bestFit="1" customWidth="1"/>
    <col min="9319" max="9319" width="29.125" bestFit="1" customWidth="1"/>
    <col min="9320" max="9321" width="25.375" bestFit="1" customWidth="1"/>
    <col min="9322" max="9322" width="29.875" customWidth="1"/>
    <col min="9323" max="9323" width="16.375" bestFit="1" customWidth="1"/>
    <col min="9324" max="9324" width="19.375" bestFit="1" customWidth="1"/>
    <col min="9325" max="9325" width="27.625" bestFit="1" customWidth="1"/>
    <col min="9326" max="9326" width="10.375" bestFit="1" customWidth="1"/>
    <col min="9327" max="9327" width="18.875" bestFit="1" customWidth="1"/>
    <col min="9328" max="9328" width="24.625" customWidth="1"/>
    <col min="9329" max="9329" width="17.625" bestFit="1" customWidth="1"/>
    <col min="9330" max="9330" width="24.875" bestFit="1" customWidth="1"/>
    <col min="9331" max="9331" width="21.875" bestFit="1" customWidth="1"/>
    <col min="9332" max="9332" width="12.125" bestFit="1" customWidth="1"/>
    <col min="9333" max="9333" width="17.375" bestFit="1" customWidth="1"/>
    <col min="9334" max="9334" width="13.375" bestFit="1" customWidth="1"/>
    <col min="9335" max="9335" width="17.375" bestFit="1" customWidth="1"/>
    <col min="9336" max="9343" width="8.625" bestFit="1" customWidth="1"/>
    <col min="9344" max="9344" width="10.125" bestFit="1" customWidth="1"/>
    <col min="9345" max="9348" width="8.625" bestFit="1" customWidth="1"/>
    <col min="9349" max="9349" width="5.625" bestFit="1" customWidth="1"/>
    <col min="9350" max="9350" width="17.375" bestFit="1" customWidth="1"/>
    <col min="9351" max="9351" width="21.875" bestFit="1" customWidth="1"/>
    <col min="9352" max="9352" width="57.375" bestFit="1" customWidth="1"/>
    <col min="9353" max="9353" width="25.375" bestFit="1" customWidth="1"/>
    <col min="9354" max="9354" width="15.625" customWidth="1"/>
    <col min="9355" max="9355" width="32.125" bestFit="1" customWidth="1"/>
    <col min="9356" max="9356" width="22.625" bestFit="1" customWidth="1"/>
    <col min="9357" max="9357" width="24.875" bestFit="1" customWidth="1"/>
    <col min="9358" max="9358" width="25.625" customWidth="1"/>
    <col min="9359" max="9359" width="31.375" bestFit="1" customWidth="1"/>
    <col min="9360" max="9360" width="24.625" customWidth="1"/>
    <col min="9361" max="9361" width="31.625" bestFit="1" customWidth="1"/>
    <col min="9362" max="9362" width="51.625" bestFit="1" customWidth="1"/>
    <col min="9363" max="9363" width="57.375" bestFit="1" customWidth="1"/>
    <col min="9364" max="9364" width="57.125" bestFit="1" customWidth="1"/>
    <col min="9365" max="9365" width="62.875" bestFit="1" customWidth="1"/>
    <col min="9366" max="9366" width="32.125" bestFit="1" customWidth="1"/>
    <col min="9472" max="9472" width="16.875" bestFit="1" customWidth="1"/>
    <col min="9473" max="9473" width="13.125" bestFit="1" customWidth="1"/>
    <col min="9474" max="9474" width="16.875" bestFit="1" customWidth="1"/>
    <col min="9475" max="9475" width="13.875" bestFit="1" customWidth="1"/>
    <col min="9476" max="9476" width="18.875" bestFit="1" customWidth="1"/>
    <col min="9477" max="9477" width="10.375" bestFit="1" customWidth="1"/>
    <col min="9478" max="9479" width="18.875" bestFit="1" customWidth="1"/>
    <col min="9480" max="9480" width="13.375" customWidth="1"/>
    <col min="9481" max="9482" width="18.875" bestFit="1" customWidth="1"/>
    <col min="9483" max="9483" width="15.125" bestFit="1" customWidth="1"/>
    <col min="9484" max="9484" width="15.375" bestFit="1" customWidth="1"/>
    <col min="9485" max="9485" width="16.625" customWidth="1"/>
    <col min="9486" max="9486" width="13.375" customWidth="1"/>
    <col min="9487" max="9487" width="16.875" bestFit="1" customWidth="1"/>
    <col min="9488" max="9488" width="14.875" bestFit="1" customWidth="1"/>
    <col min="9489" max="9489" width="20.625" bestFit="1" customWidth="1"/>
    <col min="9490" max="9490" width="18.375" bestFit="1" customWidth="1"/>
    <col min="9491" max="9491" width="13.375" bestFit="1" customWidth="1"/>
    <col min="9492" max="9492" width="36.375" customWidth="1"/>
    <col min="9493" max="9493" width="36.375" bestFit="1" customWidth="1"/>
    <col min="9494" max="9494" width="24.625" customWidth="1"/>
    <col min="9495" max="9495" width="36.375" bestFit="1" customWidth="1"/>
    <col min="9496" max="9496" width="21.625" bestFit="1" customWidth="1"/>
    <col min="9497" max="9497" width="21.875" bestFit="1" customWidth="1"/>
    <col min="9498" max="9498" width="21.625" bestFit="1" customWidth="1"/>
    <col min="9499" max="9499" width="13.875" bestFit="1" customWidth="1"/>
    <col min="9500" max="9500" width="10.375" bestFit="1" customWidth="1"/>
    <col min="9501" max="9501" width="18.875" bestFit="1" customWidth="1"/>
    <col min="9502" max="9502" width="10.375" bestFit="1" customWidth="1"/>
    <col min="9503" max="9503" width="98.875" bestFit="1" customWidth="1"/>
    <col min="9504" max="9504" width="17.625" bestFit="1" customWidth="1"/>
    <col min="9505" max="9505" width="26.625" bestFit="1" customWidth="1"/>
    <col min="9506" max="9506" width="23.375" bestFit="1" customWidth="1"/>
    <col min="9507" max="9507" width="15.375" bestFit="1" customWidth="1"/>
    <col min="9508" max="9508" width="202.625" customWidth="1"/>
    <col min="9509" max="9509" width="46.625" bestFit="1" customWidth="1"/>
    <col min="9510" max="9510" width="26.125" bestFit="1" customWidth="1"/>
    <col min="9511" max="9511" width="18.875" bestFit="1" customWidth="1"/>
    <col min="9512" max="9512" width="42.125" bestFit="1" customWidth="1"/>
    <col min="9513" max="9514" width="18.875" bestFit="1" customWidth="1"/>
    <col min="9515" max="9515" width="22.375" bestFit="1" customWidth="1"/>
    <col min="9516" max="9516" width="17.625" bestFit="1" customWidth="1"/>
    <col min="9517" max="9517" width="17.375" bestFit="1" customWidth="1"/>
    <col min="9518" max="9518" width="15.125" bestFit="1" customWidth="1"/>
    <col min="9519" max="9519" width="27.875" bestFit="1" customWidth="1"/>
    <col min="9520" max="9520" width="31.375" bestFit="1" customWidth="1"/>
    <col min="9521" max="9521" width="14.125" bestFit="1" customWidth="1"/>
    <col min="9522" max="9522" width="10.625" customWidth="1"/>
    <col min="9523" max="9524" width="20.625" customWidth="1"/>
    <col min="9525" max="9525" width="19.375" bestFit="1" customWidth="1"/>
    <col min="9526" max="9526" width="21.875" bestFit="1" customWidth="1"/>
    <col min="9527" max="9527" width="25.625" customWidth="1"/>
    <col min="9528" max="9528" width="25.875" bestFit="1" customWidth="1"/>
    <col min="9529" max="9529" width="19.625" customWidth="1"/>
    <col min="9530" max="9530" width="35.125" bestFit="1" customWidth="1"/>
    <col min="9531" max="9531" width="27.125" bestFit="1" customWidth="1"/>
    <col min="9532" max="9532" width="36.125" bestFit="1" customWidth="1"/>
    <col min="9533" max="9533" width="27.875" bestFit="1" customWidth="1"/>
    <col min="9534" max="9534" width="19.375" bestFit="1" customWidth="1"/>
    <col min="9535" max="9535" width="17.625" bestFit="1" customWidth="1"/>
    <col min="9536" max="9536" width="30.125" bestFit="1" customWidth="1"/>
    <col min="9537" max="9537" width="25.625" customWidth="1"/>
    <col min="9538" max="9538" width="23.125" bestFit="1" customWidth="1"/>
    <col min="9539" max="9539" width="25.625" customWidth="1"/>
    <col min="9540" max="9540" width="23.125" bestFit="1" customWidth="1"/>
    <col min="9541" max="9541" width="19.625" bestFit="1" customWidth="1"/>
    <col min="9542" max="9542" width="23.125" bestFit="1" customWidth="1"/>
    <col min="9543" max="9543" width="24.625" customWidth="1"/>
    <col min="9544" max="9544" width="23.125" bestFit="1" customWidth="1"/>
    <col min="9545" max="9545" width="19.625" bestFit="1" customWidth="1"/>
    <col min="9546" max="9546" width="17.625" bestFit="1" customWidth="1"/>
    <col min="9547" max="9548" width="21.875" bestFit="1" customWidth="1"/>
    <col min="9549" max="9549" width="25.625" customWidth="1"/>
    <col min="9550" max="9550" width="23.125" bestFit="1" customWidth="1"/>
    <col min="9551" max="9551" width="25.625" customWidth="1"/>
    <col min="9552" max="9552" width="23.125" bestFit="1" customWidth="1"/>
    <col min="9553" max="9553" width="19.625" bestFit="1" customWidth="1"/>
    <col min="9554" max="9554" width="23.125" bestFit="1" customWidth="1"/>
    <col min="9555" max="9555" width="24.625" customWidth="1"/>
    <col min="9556" max="9556" width="23.125" bestFit="1" customWidth="1"/>
    <col min="9557" max="9557" width="19.625" bestFit="1" customWidth="1"/>
    <col min="9558" max="9558" width="27.375" bestFit="1" customWidth="1"/>
    <col min="9559" max="9559" width="25.625" customWidth="1"/>
    <col min="9560" max="9560" width="27.375" bestFit="1" customWidth="1"/>
    <col min="9561" max="9561" width="23.875" bestFit="1" customWidth="1"/>
    <col min="9562" max="9562" width="27.375" bestFit="1" customWidth="1"/>
    <col min="9563" max="9563" width="24.625" customWidth="1"/>
    <col min="9564" max="9564" width="27.375" bestFit="1" customWidth="1"/>
    <col min="9565" max="9565" width="23.875" bestFit="1" customWidth="1"/>
    <col min="9566" max="9566" width="17.625" customWidth="1"/>
    <col min="9567" max="9567" width="18.125" customWidth="1"/>
    <col min="9568" max="9569" width="29.125" bestFit="1" customWidth="1"/>
    <col min="9570" max="9570" width="33.375" bestFit="1" customWidth="1"/>
    <col min="9571" max="9571" width="32.375" bestFit="1" customWidth="1"/>
    <col min="9572" max="9573" width="28.875" bestFit="1" customWidth="1"/>
    <col min="9574" max="9574" width="33.125" bestFit="1" customWidth="1"/>
    <col min="9575" max="9575" width="29.125" bestFit="1" customWidth="1"/>
    <col min="9576" max="9577" width="25.375" bestFit="1" customWidth="1"/>
    <col min="9578" max="9578" width="29.875" customWidth="1"/>
    <col min="9579" max="9579" width="16.375" bestFit="1" customWidth="1"/>
    <col min="9580" max="9580" width="19.375" bestFit="1" customWidth="1"/>
    <col min="9581" max="9581" width="27.625" bestFit="1" customWidth="1"/>
    <col min="9582" max="9582" width="10.375" bestFit="1" customWidth="1"/>
    <col min="9583" max="9583" width="18.875" bestFit="1" customWidth="1"/>
    <col min="9584" max="9584" width="24.625" customWidth="1"/>
    <col min="9585" max="9585" width="17.625" bestFit="1" customWidth="1"/>
    <col min="9586" max="9586" width="24.875" bestFit="1" customWidth="1"/>
    <col min="9587" max="9587" width="21.875" bestFit="1" customWidth="1"/>
    <col min="9588" max="9588" width="12.125" bestFit="1" customWidth="1"/>
    <col min="9589" max="9589" width="17.375" bestFit="1" customWidth="1"/>
    <col min="9590" max="9590" width="13.375" bestFit="1" customWidth="1"/>
    <col min="9591" max="9591" width="17.375" bestFit="1" customWidth="1"/>
    <col min="9592" max="9599" width="8.625" bestFit="1" customWidth="1"/>
    <col min="9600" max="9600" width="10.125" bestFit="1" customWidth="1"/>
    <col min="9601" max="9604" width="8.625" bestFit="1" customWidth="1"/>
    <col min="9605" max="9605" width="5.625" bestFit="1" customWidth="1"/>
    <col min="9606" max="9606" width="17.375" bestFit="1" customWidth="1"/>
    <col min="9607" max="9607" width="21.875" bestFit="1" customWidth="1"/>
    <col min="9608" max="9608" width="57.375" bestFit="1" customWidth="1"/>
    <col min="9609" max="9609" width="25.375" bestFit="1" customWidth="1"/>
    <col min="9610" max="9610" width="15.625" customWidth="1"/>
    <col min="9611" max="9611" width="32.125" bestFit="1" customWidth="1"/>
    <col min="9612" max="9612" width="22.625" bestFit="1" customWidth="1"/>
    <col min="9613" max="9613" width="24.875" bestFit="1" customWidth="1"/>
    <col min="9614" max="9614" width="25.625" customWidth="1"/>
    <col min="9615" max="9615" width="31.375" bestFit="1" customWidth="1"/>
    <col min="9616" max="9616" width="24.625" customWidth="1"/>
    <col min="9617" max="9617" width="31.625" bestFit="1" customWidth="1"/>
    <col min="9618" max="9618" width="51.625" bestFit="1" customWidth="1"/>
    <col min="9619" max="9619" width="57.375" bestFit="1" customWidth="1"/>
    <col min="9620" max="9620" width="57.125" bestFit="1" customWidth="1"/>
    <col min="9621" max="9621" width="62.875" bestFit="1" customWidth="1"/>
    <col min="9622" max="9622" width="32.125" bestFit="1" customWidth="1"/>
    <col min="9728" max="9728" width="16.875" bestFit="1" customWidth="1"/>
    <col min="9729" max="9729" width="13.125" bestFit="1" customWidth="1"/>
    <col min="9730" max="9730" width="16.875" bestFit="1" customWidth="1"/>
    <col min="9731" max="9731" width="13.875" bestFit="1" customWidth="1"/>
    <col min="9732" max="9732" width="18.875" bestFit="1" customWidth="1"/>
    <col min="9733" max="9733" width="10.375" bestFit="1" customWidth="1"/>
    <col min="9734" max="9735" width="18.875" bestFit="1" customWidth="1"/>
    <col min="9736" max="9736" width="13.375" customWidth="1"/>
    <col min="9737" max="9738" width="18.875" bestFit="1" customWidth="1"/>
    <col min="9739" max="9739" width="15.125" bestFit="1" customWidth="1"/>
    <col min="9740" max="9740" width="15.375" bestFit="1" customWidth="1"/>
    <col min="9741" max="9741" width="16.625" customWidth="1"/>
    <col min="9742" max="9742" width="13.375" customWidth="1"/>
    <col min="9743" max="9743" width="16.875" bestFit="1" customWidth="1"/>
    <col min="9744" max="9744" width="14.875" bestFit="1" customWidth="1"/>
    <col min="9745" max="9745" width="20.625" bestFit="1" customWidth="1"/>
    <col min="9746" max="9746" width="18.375" bestFit="1" customWidth="1"/>
    <col min="9747" max="9747" width="13.375" bestFit="1" customWidth="1"/>
    <col min="9748" max="9748" width="36.375" customWidth="1"/>
    <col min="9749" max="9749" width="36.375" bestFit="1" customWidth="1"/>
    <col min="9750" max="9750" width="24.625" customWidth="1"/>
    <col min="9751" max="9751" width="36.375" bestFit="1" customWidth="1"/>
    <col min="9752" max="9752" width="21.625" bestFit="1" customWidth="1"/>
    <col min="9753" max="9753" width="21.875" bestFit="1" customWidth="1"/>
    <col min="9754" max="9754" width="21.625" bestFit="1" customWidth="1"/>
    <col min="9755" max="9755" width="13.875" bestFit="1" customWidth="1"/>
    <col min="9756" max="9756" width="10.375" bestFit="1" customWidth="1"/>
    <col min="9757" max="9757" width="18.875" bestFit="1" customWidth="1"/>
    <col min="9758" max="9758" width="10.375" bestFit="1" customWidth="1"/>
    <col min="9759" max="9759" width="98.875" bestFit="1" customWidth="1"/>
    <col min="9760" max="9760" width="17.625" bestFit="1" customWidth="1"/>
    <col min="9761" max="9761" width="26.625" bestFit="1" customWidth="1"/>
    <col min="9762" max="9762" width="23.375" bestFit="1" customWidth="1"/>
    <col min="9763" max="9763" width="15.375" bestFit="1" customWidth="1"/>
    <col min="9764" max="9764" width="202.625" customWidth="1"/>
    <col min="9765" max="9765" width="46.625" bestFit="1" customWidth="1"/>
    <col min="9766" max="9766" width="26.125" bestFit="1" customWidth="1"/>
    <col min="9767" max="9767" width="18.875" bestFit="1" customWidth="1"/>
    <col min="9768" max="9768" width="42.125" bestFit="1" customWidth="1"/>
    <col min="9769" max="9770" width="18.875" bestFit="1" customWidth="1"/>
    <col min="9771" max="9771" width="22.375" bestFit="1" customWidth="1"/>
    <col min="9772" max="9772" width="17.625" bestFit="1" customWidth="1"/>
    <col min="9773" max="9773" width="17.375" bestFit="1" customWidth="1"/>
    <col min="9774" max="9774" width="15.125" bestFit="1" customWidth="1"/>
    <col min="9775" max="9775" width="27.875" bestFit="1" customWidth="1"/>
    <col min="9776" max="9776" width="31.375" bestFit="1" customWidth="1"/>
    <col min="9777" max="9777" width="14.125" bestFit="1" customWidth="1"/>
    <col min="9778" max="9778" width="10.625" customWidth="1"/>
    <col min="9779" max="9780" width="20.625" customWidth="1"/>
    <col min="9781" max="9781" width="19.375" bestFit="1" customWidth="1"/>
    <col min="9782" max="9782" width="21.875" bestFit="1" customWidth="1"/>
    <col min="9783" max="9783" width="25.625" customWidth="1"/>
    <col min="9784" max="9784" width="25.875" bestFit="1" customWidth="1"/>
    <col min="9785" max="9785" width="19.625" customWidth="1"/>
    <col min="9786" max="9786" width="35.125" bestFit="1" customWidth="1"/>
    <col min="9787" max="9787" width="27.125" bestFit="1" customWidth="1"/>
    <col min="9788" max="9788" width="36.125" bestFit="1" customWidth="1"/>
    <col min="9789" max="9789" width="27.875" bestFit="1" customWidth="1"/>
    <col min="9790" max="9790" width="19.375" bestFit="1" customWidth="1"/>
    <col min="9791" max="9791" width="17.625" bestFit="1" customWidth="1"/>
    <col min="9792" max="9792" width="30.125" bestFit="1" customWidth="1"/>
    <col min="9793" max="9793" width="25.625" customWidth="1"/>
    <col min="9794" max="9794" width="23.125" bestFit="1" customWidth="1"/>
    <col min="9795" max="9795" width="25.625" customWidth="1"/>
    <col min="9796" max="9796" width="23.125" bestFit="1" customWidth="1"/>
    <col min="9797" max="9797" width="19.625" bestFit="1" customWidth="1"/>
    <col min="9798" max="9798" width="23.125" bestFit="1" customWidth="1"/>
    <col min="9799" max="9799" width="24.625" customWidth="1"/>
    <col min="9800" max="9800" width="23.125" bestFit="1" customWidth="1"/>
    <col min="9801" max="9801" width="19.625" bestFit="1" customWidth="1"/>
    <col min="9802" max="9802" width="17.625" bestFit="1" customWidth="1"/>
    <col min="9803" max="9804" width="21.875" bestFit="1" customWidth="1"/>
    <col min="9805" max="9805" width="25.625" customWidth="1"/>
    <col min="9806" max="9806" width="23.125" bestFit="1" customWidth="1"/>
    <col min="9807" max="9807" width="25.625" customWidth="1"/>
    <col min="9808" max="9808" width="23.125" bestFit="1" customWidth="1"/>
    <col min="9809" max="9809" width="19.625" bestFit="1" customWidth="1"/>
    <col min="9810" max="9810" width="23.125" bestFit="1" customWidth="1"/>
    <col min="9811" max="9811" width="24.625" customWidth="1"/>
    <col min="9812" max="9812" width="23.125" bestFit="1" customWidth="1"/>
    <col min="9813" max="9813" width="19.625" bestFit="1" customWidth="1"/>
    <col min="9814" max="9814" width="27.375" bestFit="1" customWidth="1"/>
    <col min="9815" max="9815" width="25.625" customWidth="1"/>
    <col min="9816" max="9816" width="27.375" bestFit="1" customWidth="1"/>
    <col min="9817" max="9817" width="23.875" bestFit="1" customWidth="1"/>
    <col min="9818" max="9818" width="27.375" bestFit="1" customWidth="1"/>
    <col min="9819" max="9819" width="24.625" customWidth="1"/>
    <col min="9820" max="9820" width="27.375" bestFit="1" customWidth="1"/>
    <col min="9821" max="9821" width="23.875" bestFit="1" customWidth="1"/>
    <col min="9822" max="9822" width="17.625" customWidth="1"/>
    <col min="9823" max="9823" width="18.125" customWidth="1"/>
    <col min="9824" max="9825" width="29.125" bestFit="1" customWidth="1"/>
    <col min="9826" max="9826" width="33.375" bestFit="1" customWidth="1"/>
    <col min="9827" max="9827" width="32.375" bestFit="1" customWidth="1"/>
    <col min="9828" max="9829" width="28.875" bestFit="1" customWidth="1"/>
    <col min="9830" max="9830" width="33.125" bestFit="1" customWidth="1"/>
    <col min="9831" max="9831" width="29.125" bestFit="1" customWidth="1"/>
    <col min="9832" max="9833" width="25.375" bestFit="1" customWidth="1"/>
    <col min="9834" max="9834" width="29.875" customWidth="1"/>
    <col min="9835" max="9835" width="16.375" bestFit="1" customWidth="1"/>
    <col min="9836" max="9836" width="19.375" bestFit="1" customWidth="1"/>
    <col min="9837" max="9837" width="27.625" bestFit="1" customWidth="1"/>
    <col min="9838" max="9838" width="10.375" bestFit="1" customWidth="1"/>
    <col min="9839" max="9839" width="18.875" bestFit="1" customWidth="1"/>
    <col min="9840" max="9840" width="24.625" customWidth="1"/>
    <col min="9841" max="9841" width="17.625" bestFit="1" customWidth="1"/>
    <col min="9842" max="9842" width="24.875" bestFit="1" customWidth="1"/>
    <col min="9843" max="9843" width="21.875" bestFit="1" customWidth="1"/>
    <col min="9844" max="9844" width="12.125" bestFit="1" customWidth="1"/>
    <col min="9845" max="9845" width="17.375" bestFit="1" customWidth="1"/>
    <col min="9846" max="9846" width="13.375" bestFit="1" customWidth="1"/>
    <col min="9847" max="9847" width="17.375" bestFit="1" customWidth="1"/>
    <col min="9848" max="9855" width="8.625" bestFit="1" customWidth="1"/>
    <col min="9856" max="9856" width="10.125" bestFit="1" customWidth="1"/>
    <col min="9857" max="9860" width="8.625" bestFit="1" customWidth="1"/>
    <col min="9861" max="9861" width="5.625" bestFit="1" customWidth="1"/>
    <col min="9862" max="9862" width="17.375" bestFit="1" customWidth="1"/>
    <col min="9863" max="9863" width="21.875" bestFit="1" customWidth="1"/>
    <col min="9864" max="9864" width="57.375" bestFit="1" customWidth="1"/>
    <col min="9865" max="9865" width="25.375" bestFit="1" customWidth="1"/>
    <col min="9866" max="9866" width="15.625" customWidth="1"/>
    <col min="9867" max="9867" width="32.125" bestFit="1" customWidth="1"/>
    <col min="9868" max="9868" width="22.625" bestFit="1" customWidth="1"/>
    <col min="9869" max="9869" width="24.875" bestFit="1" customWidth="1"/>
    <col min="9870" max="9870" width="25.625" customWidth="1"/>
    <col min="9871" max="9871" width="31.375" bestFit="1" customWidth="1"/>
    <col min="9872" max="9872" width="24.625" customWidth="1"/>
    <col min="9873" max="9873" width="31.625" bestFit="1" customWidth="1"/>
    <col min="9874" max="9874" width="51.625" bestFit="1" customWidth="1"/>
    <col min="9875" max="9875" width="57.375" bestFit="1" customWidth="1"/>
    <col min="9876" max="9876" width="57.125" bestFit="1" customWidth="1"/>
    <col min="9877" max="9877" width="62.875" bestFit="1" customWidth="1"/>
    <col min="9878" max="9878" width="32.125" bestFit="1" customWidth="1"/>
    <col min="9984" max="9984" width="16.875" bestFit="1" customWidth="1"/>
    <col min="9985" max="9985" width="13.125" bestFit="1" customWidth="1"/>
    <col min="9986" max="9986" width="16.875" bestFit="1" customWidth="1"/>
    <col min="9987" max="9987" width="13.875" bestFit="1" customWidth="1"/>
    <col min="9988" max="9988" width="18.875" bestFit="1" customWidth="1"/>
    <col min="9989" max="9989" width="10.375" bestFit="1" customWidth="1"/>
    <col min="9990" max="9991" width="18.875" bestFit="1" customWidth="1"/>
    <col min="9992" max="9992" width="13.375" customWidth="1"/>
    <col min="9993" max="9994" width="18.875" bestFit="1" customWidth="1"/>
    <col min="9995" max="9995" width="15.125" bestFit="1" customWidth="1"/>
    <col min="9996" max="9996" width="15.375" bestFit="1" customWidth="1"/>
    <col min="9997" max="9997" width="16.625" customWidth="1"/>
    <col min="9998" max="9998" width="13.375" customWidth="1"/>
    <col min="9999" max="9999" width="16.875" bestFit="1" customWidth="1"/>
    <col min="10000" max="10000" width="14.875" bestFit="1" customWidth="1"/>
    <col min="10001" max="10001" width="20.625" bestFit="1" customWidth="1"/>
    <col min="10002" max="10002" width="18.375" bestFit="1" customWidth="1"/>
    <col min="10003" max="10003" width="13.375" bestFit="1" customWidth="1"/>
    <col min="10004" max="10004" width="36.375" customWidth="1"/>
    <col min="10005" max="10005" width="36.375" bestFit="1" customWidth="1"/>
    <col min="10006" max="10006" width="24.625" customWidth="1"/>
    <col min="10007" max="10007" width="36.375" bestFit="1" customWidth="1"/>
    <col min="10008" max="10008" width="21.625" bestFit="1" customWidth="1"/>
    <col min="10009" max="10009" width="21.875" bestFit="1" customWidth="1"/>
    <col min="10010" max="10010" width="21.625" bestFit="1" customWidth="1"/>
    <col min="10011" max="10011" width="13.875" bestFit="1" customWidth="1"/>
    <col min="10012" max="10012" width="10.375" bestFit="1" customWidth="1"/>
    <col min="10013" max="10013" width="18.875" bestFit="1" customWidth="1"/>
    <col min="10014" max="10014" width="10.375" bestFit="1" customWidth="1"/>
    <col min="10015" max="10015" width="98.875" bestFit="1" customWidth="1"/>
    <col min="10016" max="10016" width="17.625" bestFit="1" customWidth="1"/>
    <col min="10017" max="10017" width="26.625" bestFit="1" customWidth="1"/>
    <col min="10018" max="10018" width="23.375" bestFit="1" customWidth="1"/>
    <col min="10019" max="10019" width="15.375" bestFit="1" customWidth="1"/>
    <col min="10020" max="10020" width="202.625" customWidth="1"/>
    <col min="10021" max="10021" width="46.625" bestFit="1" customWidth="1"/>
    <col min="10022" max="10022" width="26.125" bestFit="1" customWidth="1"/>
    <col min="10023" max="10023" width="18.875" bestFit="1" customWidth="1"/>
    <col min="10024" max="10024" width="42.125" bestFit="1" customWidth="1"/>
    <col min="10025" max="10026" width="18.875" bestFit="1" customWidth="1"/>
    <col min="10027" max="10027" width="22.375" bestFit="1" customWidth="1"/>
    <col min="10028" max="10028" width="17.625" bestFit="1" customWidth="1"/>
    <col min="10029" max="10029" width="17.375" bestFit="1" customWidth="1"/>
    <col min="10030" max="10030" width="15.125" bestFit="1" customWidth="1"/>
    <col min="10031" max="10031" width="27.875" bestFit="1" customWidth="1"/>
    <col min="10032" max="10032" width="31.375" bestFit="1" customWidth="1"/>
    <col min="10033" max="10033" width="14.125" bestFit="1" customWidth="1"/>
    <col min="10034" max="10034" width="10.625" customWidth="1"/>
    <col min="10035" max="10036" width="20.625" customWidth="1"/>
    <col min="10037" max="10037" width="19.375" bestFit="1" customWidth="1"/>
    <col min="10038" max="10038" width="21.875" bestFit="1" customWidth="1"/>
    <col min="10039" max="10039" width="25.625" customWidth="1"/>
    <col min="10040" max="10040" width="25.875" bestFit="1" customWidth="1"/>
    <col min="10041" max="10041" width="19.625" customWidth="1"/>
    <col min="10042" max="10042" width="35.125" bestFit="1" customWidth="1"/>
    <col min="10043" max="10043" width="27.125" bestFit="1" customWidth="1"/>
    <col min="10044" max="10044" width="36.125" bestFit="1" customWidth="1"/>
    <col min="10045" max="10045" width="27.875" bestFit="1" customWidth="1"/>
    <col min="10046" max="10046" width="19.375" bestFit="1" customWidth="1"/>
    <col min="10047" max="10047" width="17.625" bestFit="1" customWidth="1"/>
    <col min="10048" max="10048" width="30.125" bestFit="1" customWidth="1"/>
    <col min="10049" max="10049" width="25.625" customWidth="1"/>
    <col min="10050" max="10050" width="23.125" bestFit="1" customWidth="1"/>
    <col min="10051" max="10051" width="25.625" customWidth="1"/>
    <col min="10052" max="10052" width="23.125" bestFit="1" customWidth="1"/>
    <col min="10053" max="10053" width="19.625" bestFit="1" customWidth="1"/>
    <col min="10054" max="10054" width="23.125" bestFit="1" customWidth="1"/>
    <col min="10055" max="10055" width="24.625" customWidth="1"/>
    <col min="10056" max="10056" width="23.125" bestFit="1" customWidth="1"/>
    <col min="10057" max="10057" width="19.625" bestFit="1" customWidth="1"/>
    <col min="10058" max="10058" width="17.625" bestFit="1" customWidth="1"/>
    <col min="10059" max="10060" width="21.875" bestFit="1" customWidth="1"/>
    <col min="10061" max="10061" width="25.625" customWidth="1"/>
    <col min="10062" max="10062" width="23.125" bestFit="1" customWidth="1"/>
    <col min="10063" max="10063" width="25.625" customWidth="1"/>
    <col min="10064" max="10064" width="23.125" bestFit="1" customWidth="1"/>
    <col min="10065" max="10065" width="19.625" bestFit="1" customWidth="1"/>
    <col min="10066" max="10066" width="23.125" bestFit="1" customWidth="1"/>
    <col min="10067" max="10067" width="24.625" customWidth="1"/>
    <col min="10068" max="10068" width="23.125" bestFit="1" customWidth="1"/>
    <col min="10069" max="10069" width="19.625" bestFit="1" customWidth="1"/>
    <col min="10070" max="10070" width="27.375" bestFit="1" customWidth="1"/>
    <col min="10071" max="10071" width="25.625" customWidth="1"/>
    <col min="10072" max="10072" width="27.375" bestFit="1" customWidth="1"/>
    <col min="10073" max="10073" width="23.875" bestFit="1" customWidth="1"/>
    <col min="10074" max="10074" width="27.375" bestFit="1" customWidth="1"/>
    <col min="10075" max="10075" width="24.625" customWidth="1"/>
    <col min="10076" max="10076" width="27.375" bestFit="1" customWidth="1"/>
    <col min="10077" max="10077" width="23.875" bestFit="1" customWidth="1"/>
    <col min="10078" max="10078" width="17.625" customWidth="1"/>
    <col min="10079" max="10079" width="18.125" customWidth="1"/>
    <col min="10080" max="10081" width="29.125" bestFit="1" customWidth="1"/>
    <col min="10082" max="10082" width="33.375" bestFit="1" customWidth="1"/>
    <col min="10083" max="10083" width="32.375" bestFit="1" customWidth="1"/>
    <col min="10084" max="10085" width="28.875" bestFit="1" customWidth="1"/>
    <col min="10086" max="10086" width="33.125" bestFit="1" customWidth="1"/>
    <col min="10087" max="10087" width="29.125" bestFit="1" customWidth="1"/>
    <col min="10088" max="10089" width="25.375" bestFit="1" customWidth="1"/>
    <col min="10090" max="10090" width="29.875" customWidth="1"/>
    <col min="10091" max="10091" width="16.375" bestFit="1" customWidth="1"/>
    <col min="10092" max="10092" width="19.375" bestFit="1" customWidth="1"/>
    <col min="10093" max="10093" width="27.625" bestFit="1" customWidth="1"/>
    <col min="10094" max="10094" width="10.375" bestFit="1" customWidth="1"/>
    <col min="10095" max="10095" width="18.875" bestFit="1" customWidth="1"/>
    <col min="10096" max="10096" width="24.625" customWidth="1"/>
    <col min="10097" max="10097" width="17.625" bestFit="1" customWidth="1"/>
    <col min="10098" max="10098" width="24.875" bestFit="1" customWidth="1"/>
    <col min="10099" max="10099" width="21.875" bestFit="1" customWidth="1"/>
    <col min="10100" max="10100" width="12.125" bestFit="1" customWidth="1"/>
    <col min="10101" max="10101" width="17.375" bestFit="1" customWidth="1"/>
    <col min="10102" max="10102" width="13.375" bestFit="1" customWidth="1"/>
    <col min="10103" max="10103" width="17.375" bestFit="1" customWidth="1"/>
    <col min="10104" max="10111" width="8.625" bestFit="1" customWidth="1"/>
    <col min="10112" max="10112" width="10.125" bestFit="1" customWidth="1"/>
    <col min="10113" max="10116" width="8.625" bestFit="1" customWidth="1"/>
    <col min="10117" max="10117" width="5.625" bestFit="1" customWidth="1"/>
    <col min="10118" max="10118" width="17.375" bestFit="1" customWidth="1"/>
    <col min="10119" max="10119" width="21.875" bestFit="1" customWidth="1"/>
    <col min="10120" max="10120" width="57.375" bestFit="1" customWidth="1"/>
    <col min="10121" max="10121" width="25.375" bestFit="1" customWidth="1"/>
    <col min="10122" max="10122" width="15.625" customWidth="1"/>
    <col min="10123" max="10123" width="32.125" bestFit="1" customWidth="1"/>
    <col min="10124" max="10124" width="22.625" bestFit="1" customWidth="1"/>
    <col min="10125" max="10125" width="24.875" bestFit="1" customWidth="1"/>
    <col min="10126" max="10126" width="25.625" customWidth="1"/>
    <col min="10127" max="10127" width="31.375" bestFit="1" customWidth="1"/>
    <col min="10128" max="10128" width="24.625" customWidth="1"/>
    <col min="10129" max="10129" width="31.625" bestFit="1" customWidth="1"/>
    <col min="10130" max="10130" width="51.625" bestFit="1" customWidth="1"/>
    <col min="10131" max="10131" width="57.375" bestFit="1" customWidth="1"/>
    <col min="10132" max="10132" width="57.125" bestFit="1" customWidth="1"/>
    <col min="10133" max="10133" width="62.875" bestFit="1" customWidth="1"/>
    <col min="10134" max="10134" width="32.125" bestFit="1" customWidth="1"/>
    <col min="10240" max="10240" width="16.875" bestFit="1" customWidth="1"/>
    <col min="10241" max="10241" width="13.125" bestFit="1" customWidth="1"/>
    <col min="10242" max="10242" width="16.875" bestFit="1" customWidth="1"/>
    <col min="10243" max="10243" width="13.875" bestFit="1" customWidth="1"/>
    <col min="10244" max="10244" width="18.875" bestFit="1" customWidth="1"/>
    <col min="10245" max="10245" width="10.375" bestFit="1" customWidth="1"/>
    <col min="10246" max="10247" width="18.875" bestFit="1" customWidth="1"/>
    <col min="10248" max="10248" width="13.375" customWidth="1"/>
    <col min="10249" max="10250" width="18.875" bestFit="1" customWidth="1"/>
    <col min="10251" max="10251" width="15.125" bestFit="1" customWidth="1"/>
    <col min="10252" max="10252" width="15.375" bestFit="1" customWidth="1"/>
    <col min="10253" max="10253" width="16.625" customWidth="1"/>
    <col min="10254" max="10254" width="13.375" customWidth="1"/>
    <col min="10255" max="10255" width="16.875" bestFit="1" customWidth="1"/>
    <col min="10256" max="10256" width="14.875" bestFit="1" customWidth="1"/>
    <col min="10257" max="10257" width="20.625" bestFit="1" customWidth="1"/>
    <col min="10258" max="10258" width="18.375" bestFit="1" customWidth="1"/>
    <col min="10259" max="10259" width="13.375" bestFit="1" customWidth="1"/>
    <col min="10260" max="10260" width="36.375" customWidth="1"/>
    <col min="10261" max="10261" width="36.375" bestFit="1" customWidth="1"/>
    <col min="10262" max="10262" width="24.625" customWidth="1"/>
    <col min="10263" max="10263" width="36.375" bestFit="1" customWidth="1"/>
    <col min="10264" max="10264" width="21.625" bestFit="1" customWidth="1"/>
    <col min="10265" max="10265" width="21.875" bestFit="1" customWidth="1"/>
    <col min="10266" max="10266" width="21.625" bestFit="1" customWidth="1"/>
    <col min="10267" max="10267" width="13.875" bestFit="1" customWidth="1"/>
    <col min="10268" max="10268" width="10.375" bestFit="1" customWidth="1"/>
    <col min="10269" max="10269" width="18.875" bestFit="1" customWidth="1"/>
    <col min="10270" max="10270" width="10.375" bestFit="1" customWidth="1"/>
    <col min="10271" max="10271" width="98.875" bestFit="1" customWidth="1"/>
    <col min="10272" max="10272" width="17.625" bestFit="1" customWidth="1"/>
    <col min="10273" max="10273" width="26.625" bestFit="1" customWidth="1"/>
    <col min="10274" max="10274" width="23.375" bestFit="1" customWidth="1"/>
    <col min="10275" max="10275" width="15.375" bestFit="1" customWidth="1"/>
    <col min="10276" max="10276" width="202.625" customWidth="1"/>
    <col min="10277" max="10277" width="46.625" bestFit="1" customWidth="1"/>
    <col min="10278" max="10278" width="26.125" bestFit="1" customWidth="1"/>
    <col min="10279" max="10279" width="18.875" bestFit="1" customWidth="1"/>
    <col min="10280" max="10280" width="42.125" bestFit="1" customWidth="1"/>
    <col min="10281" max="10282" width="18.875" bestFit="1" customWidth="1"/>
    <col min="10283" max="10283" width="22.375" bestFit="1" customWidth="1"/>
    <col min="10284" max="10284" width="17.625" bestFit="1" customWidth="1"/>
    <col min="10285" max="10285" width="17.375" bestFit="1" customWidth="1"/>
    <col min="10286" max="10286" width="15.125" bestFit="1" customWidth="1"/>
    <col min="10287" max="10287" width="27.875" bestFit="1" customWidth="1"/>
    <col min="10288" max="10288" width="31.375" bestFit="1" customWidth="1"/>
    <col min="10289" max="10289" width="14.125" bestFit="1" customWidth="1"/>
    <col min="10290" max="10290" width="10.625" customWidth="1"/>
    <col min="10291" max="10292" width="20.625" customWidth="1"/>
    <col min="10293" max="10293" width="19.375" bestFit="1" customWidth="1"/>
    <col min="10294" max="10294" width="21.875" bestFit="1" customWidth="1"/>
    <col min="10295" max="10295" width="25.625" customWidth="1"/>
    <col min="10296" max="10296" width="25.875" bestFit="1" customWidth="1"/>
    <col min="10297" max="10297" width="19.625" customWidth="1"/>
    <col min="10298" max="10298" width="35.125" bestFit="1" customWidth="1"/>
    <col min="10299" max="10299" width="27.125" bestFit="1" customWidth="1"/>
    <col min="10300" max="10300" width="36.125" bestFit="1" customWidth="1"/>
    <col min="10301" max="10301" width="27.875" bestFit="1" customWidth="1"/>
    <col min="10302" max="10302" width="19.375" bestFit="1" customWidth="1"/>
    <col min="10303" max="10303" width="17.625" bestFit="1" customWidth="1"/>
    <col min="10304" max="10304" width="30.125" bestFit="1" customWidth="1"/>
    <col min="10305" max="10305" width="25.625" customWidth="1"/>
    <col min="10306" max="10306" width="23.125" bestFit="1" customWidth="1"/>
    <col min="10307" max="10307" width="25.625" customWidth="1"/>
    <col min="10308" max="10308" width="23.125" bestFit="1" customWidth="1"/>
    <col min="10309" max="10309" width="19.625" bestFit="1" customWidth="1"/>
    <col min="10310" max="10310" width="23.125" bestFit="1" customWidth="1"/>
    <col min="10311" max="10311" width="24.625" customWidth="1"/>
    <col min="10312" max="10312" width="23.125" bestFit="1" customWidth="1"/>
    <col min="10313" max="10313" width="19.625" bestFit="1" customWidth="1"/>
    <col min="10314" max="10314" width="17.625" bestFit="1" customWidth="1"/>
    <col min="10315" max="10316" width="21.875" bestFit="1" customWidth="1"/>
    <col min="10317" max="10317" width="25.625" customWidth="1"/>
    <col min="10318" max="10318" width="23.125" bestFit="1" customWidth="1"/>
    <col min="10319" max="10319" width="25.625" customWidth="1"/>
    <col min="10320" max="10320" width="23.125" bestFit="1" customWidth="1"/>
    <col min="10321" max="10321" width="19.625" bestFit="1" customWidth="1"/>
    <col min="10322" max="10322" width="23.125" bestFit="1" customWidth="1"/>
    <col min="10323" max="10323" width="24.625" customWidth="1"/>
    <col min="10324" max="10324" width="23.125" bestFit="1" customWidth="1"/>
    <col min="10325" max="10325" width="19.625" bestFit="1" customWidth="1"/>
    <col min="10326" max="10326" width="27.375" bestFit="1" customWidth="1"/>
    <col min="10327" max="10327" width="25.625" customWidth="1"/>
    <col min="10328" max="10328" width="27.375" bestFit="1" customWidth="1"/>
    <col min="10329" max="10329" width="23.875" bestFit="1" customWidth="1"/>
    <col min="10330" max="10330" width="27.375" bestFit="1" customWidth="1"/>
    <col min="10331" max="10331" width="24.625" customWidth="1"/>
    <col min="10332" max="10332" width="27.375" bestFit="1" customWidth="1"/>
    <col min="10333" max="10333" width="23.875" bestFit="1" customWidth="1"/>
    <col min="10334" max="10334" width="17.625" customWidth="1"/>
    <col min="10335" max="10335" width="18.125" customWidth="1"/>
    <col min="10336" max="10337" width="29.125" bestFit="1" customWidth="1"/>
    <col min="10338" max="10338" width="33.375" bestFit="1" customWidth="1"/>
    <col min="10339" max="10339" width="32.375" bestFit="1" customWidth="1"/>
    <col min="10340" max="10341" width="28.875" bestFit="1" customWidth="1"/>
    <col min="10342" max="10342" width="33.125" bestFit="1" customWidth="1"/>
    <col min="10343" max="10343" width="29.125" bestFit="1" customWidth="1"/>
    <col min="10344" max="10345" width="25.375" bestFit="1" customWidth="1"/>
    <col min="10346" max="10346" width="29.875" customWidth="1"/>
    <col min="10347" max="10347" width="16.375" bestFit="1" customWidth="1"/>
    <col min="10348" max="10348" width="19.375" bestFit="1" customWidth="1"/>
    <col min="10349" max="10349" width="27.625" bestFit="1" customWidth="1"/>
    <col min="10350" max="10350" width="10.375" bestFit="1" customWidth="1"/>
    <col min="10351" max="10351" width="18.875" bestFit="1" customWidth="1"/>
    <col min="10352" max="10352" width="24.625" customWidth="1"/>
    <col min="10353" max="10353" width="17.625" bestFit="1" customWidth="1"/>
    <col min="10354" max="10354" width="24.875" bestFit="1" customWidth="1"/>
    <col min="10355" max="10355" width="21.875" bestFit="1" customWidth="1"/>
    <col min="10356" max="10356" width="12.125" bestFit="1" customWidth="1"/>
    <col min="10357" max="10357" width="17.375" bestFit="1" customWidth="1"/>
    <col min="10358" max="10358" width="13.375" bestFit="1" customWidth="1"/>
    <col min="10359" max="10359" width="17.375" bestFit="1" customWidth="1"/>
    <col min="10360" max="10367" width="8.625" bestFit="1" customWidth="1"/>
    <col min="10368" max="10368" width="10.125" bestFit="1" customWidth="1"/>
    <col min="10369" max="10372" width="8.625" bestFit="1" customWidth="1"/>
    <col min="10373" max="10373" width="5.625" bestFit="1" customWidth="1"/>
    <col min="10374" max="10374" width="17.375" bestFit="1" customWidth="1"/>
    <col min="10375" max="10375" width="21.875" bestFit="1" customWidth="1"/>
    <col min="10376" max="10376" width="57.375" bestFit="1" customWidth="1"/>
    <col min="10377" max="10377" width="25.375" bestFit="1" customWidth="1"/>
    <col min="10378" max="10378" width="15.625" customWidth="1"/>
    <col min="10379" max="10379" width="32.125" bestFit="1" customWidth="1"/>
    <col min="10380" max="10380" width="22.625" bestFit="1" customWidth="1"/>
    <col min="10381" max="10381" width="24.875" bestFit="1" customWidth="1"/>
    <col min="10382" max="10382" width="25.625" customWidth="1"/>
    <col min="10383" max="10383" width="31.375" bestFit="1" customWidth="1"/>
    <col min="10384" max="10384" width="24.625" customWidth="1"/>
    <col min="10385" max="10385" width="31.625" bestFit="1" customWidth="1"/>
    <col min="10386" max="10386" width="51.625" bestFit="1" customWidth="1"/>
    <col min="10387" max="10387" width="57.375" bestFit="1" customWidth="1"/>
    <col min="10388" max="10388" width="57.125" bestFit="1" customWidth="1"/>
    <col min="10389" max="10389" width="62.875" bestFit="1" customWidth="1"/>
    <col min="10390" max="10390" width="32.125" bestFit="1" customWidth="1"/>
    <col min="10496" max="10496" width="16.875" bestFit="1" customWidth="1"/>
    <col min="10497" max="10497" width="13.125" bestFit="1" customWidth="1"/>
    <col min="10498" max="10498" width="16.875" bestFit="1" customWidth="1"/>
    <col min="10499" max="10499" width="13.875" bestFit="1" customWidth="1"/>
    <col min="10500" max="10500" width="18.875" bestFit="1" customWidth="1"/>
    <col min="10501" max="10501" width="10.375" bestFit="1" customWidth="1"/>
    <col min="10502" max="10503" width="18.875" bestFit="1" customWidth="1"/>
    <col min="10504" max="10504" width="13.375" customWidth="1"/>
    <col min="10505" max="10506" width="18.875" bestFit="1" customWidth="1"/>
    <col min="10507" max="10507" width="15.125" bestFit="1" customWidth="1"/>
    <col min="10508" max="10508" width="15.375" bestFit="1" customWidth="1"/>
    <col min="10509" max="10509" width="16.625" customWidth="1"/>
    <col min="10510" max="10510" width="13.375" customWidth="1"/>
    <col min="10511" max="10511" width="16.875" bestFit="1" customWidth="1"/>
    <col min="10512" max="10512" width="14.875" bestFit="1" customWidth="1"/>
    <col min="10513" max="10513" width="20.625" bestFit="1" customWidth="1"/>
    <col min="10514" max="10514" width="18.375" bestFit="1" customWidth="1"/>
    <col min="10515" max="10515" width="13.375" bestFit="1" customWidth="1"/>
    <col min="10516" max="10516" width="36.375" customWidth="1"/>
    <col min="10517" max="10517" width="36.375" bestFit="1" customWidth="1"/>
    <col min="10518" max="10518" width="24.625" customWidth="1"/>
    <col min="10519" max="10519" width="36.375" bestFit="1" customWidth="1"/>
    <col min="10520" max="10520" width="21.625" bestFit="1" customWidth="1"/>
    <col min="10521" max="10521" width="21.875" bestFit="1" customWidth="1"/>
    <col min="10522" max="10522" width="21.625" bestFit="1" customWidth="1"/>
    <col min="10523" max="10523" width="13.875" bestFit="1" customWidth="1"/>
    <col min="10524" max="10524" width="10.375" bestFit="1" customWidth="1"/>
    <col min="10525" max="10525" width="18.875" bestFit="1" customWidth="1"/>
    <col min="10526" max="10526" width="10.375" bestFit="1" customWidth="1"/>
    <col min="10527" max="10527" width="98.875" bestFit="1" customWidth="1"/>
    <col min="10528" max="10528" width="17.625" bestFit="1" customWidth="1"/>
    <col min="10529" max="10529" width="26.625" bestFit="1" customWidth="1"/>
    <col min="10530" max="10530" width="23.375" bestFit="1" customWidth="1"/>
    <col min="10531" max="10531" width="15.375" bestFit="1" customWidth="1"/>
    <col min="10532" max="10532" width="202.625" customWidth="1"/>
    <col min="10533" max="10533" width="46.625" bestFit="1" customWidth="1"/>
    <col min="10534" max="10534" width="26.125" bestFit="1" customWidth="1"/>
    <col min="10535" max="10535" width="18.875" bestFit="1" customWidth="1"/>
    <col min="10536" max="10536" width="42.125" bestFit="1" customWidth="1"/>
    <col min="10537" max="10538" width="18.875" bestFit="1" customWidth="1"/>
    <col min="10539" max="10539" width="22.375" bestFit="1" customWidth="1"/>
    <col min="10540" max="10540" width="17.625" bestFit="1" customWidth="1"/>
    <col min="10541" max="10541" width="17.375" bestFit="1" customWidth="1"/>
    <col min="10542" max="10542" width="15.125" bestFit="1" customWidth="1"/>
    <col min="10543" max="10543" width="27.875" bestFit="1" customWidth="1"/>
    <col min="10544" max="10544" width="31.375" bestFit="1" customWidth="1"/>
    <col min="10545" max="10545" width="14.125" bestFit="1" customWidth="1"/>
    <col min="10546" max="10546" width="10.625" customWidth="1"/>
    <col min="10547" max="10548" width="20.625" customWidth="1"/>
    <col min="10549" max="10549" width="19.375" bestFit="1" customWidth="1"/>
    <col min="10550" max="10550" width="21.875" bestFit="1" customWidth="1"/>
    <col min="10551" max="10551" width="25.625" customWidth="1"/>
    <col min="10552" max="10552" width="25.875" bestFit="1" customWidth="1"/>
    <col min="10553" max="10553" width="19.625" customWidth="1"/>
    <col min="10554" max="10554" width="35.125" bestFit="1" customWidth="1"/>
    <col min="10555" max="10555" width="27.125" bestFit="1" customWidth="1"/>
    <col min="10556" max="10556" width="36.125" bestFit="1" customWidth="1"/>
    <col min="10557" max="10557" width="27.875" bestFit="1" customWidth="1"/>
    <col min="10558" max="10558" width="19.375" bestFit="1" customWidth="1"/>
    <col min="10559" max="10559" width="17.625" bestFit="1" customWidth="1"/>
    <col min="10560" max="10560" width="30.125" bestFit="1" customWidth="1"/>
    <col min="10561" max="10561" width="25.625" customWidth="1"/>
    <col min="10562" max="10562" width="23.125" bestFit="1" customWidth="1"/>
    <col min="10563" max="10563" width="25.625" customWidth="1"/>
    <col min="10564" max="10564" width="23.125" bestFit="1" customWidth="1"/>
    <col min="10565" max="10565" width="19.625" bestFit="1" customWidth="1"/>
    <col min="10566" max="10566" width="23.125" bestFit="1" customWidth="1"/>
    <col min="10567" max="10567" width="24.625" customWidth="1"/>
    <col min="10568" max="10568" width="23.125" bestFit="1" customWidth="1"/>
    <col min="10569" max="10569" width="19.625" bestFit="1" customWidth="1"/>
    <col min="10570" max="10570" width="17.625" bestFit="1" customWidth="1"/>
    <col min="10571" max="10572" width="21.875" bestFit="1" customWidth="1"/>
    <col min="10573" max="10573" width="25.625" customWidth="1"/>
    <col min="10574" max="10574" width="23.125" bestFit="1" customWidth="1"/>
    <col min="10575" max="10575" width="25.625" customWidth="1"/>
    <col min="10576" max="10576" width="23.125" bestFit="1" customWidth="1"/>
    <col min="10577" max="10577" width="19.625" bestFit="1" customWidth="1"/>
    <col min="10578" max="10578" width="23.125" bestFit="1" customWidth="1"/>
    <col min="10579" max="10579" width="24.625" customWidth="1"/>
    <col min="10580" max="10580" width="23.125" bestFit="1" customWidth="1"/>
    <col min="10581" max="10581" width="19.625" bestFit="1" customWidth="1"/>
    <col min="10582" max="10582" width="27.375" bestFit="1" customWidth="1"/>
    <col min="10583" max="10583" width="25.625" customWidth="1"/>
    <col min="10584" max="10584" width="27.375" bestFit="1" customWidth="1"/>
    <col min="10585" max="10585" width="23.875" bestFit="1" customWidth="1"/>
    <col min="10586" max="10586" width="27.375" bestFit="1" customWidth="1"/>
    <col min="10587" max="10587" width="24.625" customWidth="1"/>
    <col min="10588" max="10588" width="27.375" bestFit="1" customWidth="1"/>
    <col min="10589" max="10589" width="23.875" bestFit="1" customWidth="1"/>
    <col min="10590" max="10590" width="17.625" customWidth="1"/>
    <col min="10591" max="10591" width="18.125" customWidth="1"/>
    <col min="10592" max="10593" width="29.125" bestFit="1" customWidth="1"/>
    <col min="10594" max="10594" width="33.375" bestFit="1" customWidth="1"/>
    <col min="10595" max="10595" width="32.375" bestFit="1" customWidth="1"/>
    <col min="10596" max="10597" width="28.875" bestFit="1" customWidth="1"/>
    <col min="10598" max="10598" width="33.125" bestFit="1" customWidth="1"/>
    <col min="10599" max="10599" width="29.125" bestFit="1" customWidth="1"/>
    <col min="10600" max="10601" width="25.375" bestFit="1" customWidth="1"/>
    <col min="10602" max="10602" width="29.875" customWidth="1"/>
    <col min="10603" max="10603" width="16.375" bestFit="1" customWidth="1"/>
    <col min="10604" max="10604" width="19.375" bestFit="1" customWidth="1"/>
    <col min="10605" max="10605" width="27.625" bestFit="1" customWidth="1"/>
    <col min="10606" max="10606" width="10.375" bestFit="1" customWidth="1"/>
    <col min="10607" max="10607" width="18.875" bestFit="1" customWidth="1"/>
    <col min="10608" max="10608" width="24.625" customWidth="1"/>
    <col min="10609" max="10609" width="17.625" bestFit="1" customWidth="1"/>
    <col min="10610" max="10610" width="24.875" bestFit="1" customWidth="1"/>
    <col min="10611" max="10611" width="21.875" bestFit="1" customWidth="1"/>
    <col min="10612" max="10612" width="12.125" bestFit="1" customWidth="1"/>
    <col min="10613" max="10613" width="17.375" bestFit="1" customWidth="1"/>
    <col min="10614" max="10614" width="13.375" bestFit="1" customWidth="1"/>
    <col min="10615" max="10615" width="17.375" bestFit="1" customWidth="1"/>
    <col min="10616" max="10623" width="8.625" bestFit="1" customWidth="1"/>
    <col min="10624" max="10624" width="10.125" bestFit="1" customWidth="1"/>
    <col min="10625" max="10628" width="8.625" bestFit="1" customWidth="1"/>
    <col min="10629" max="10629" width="5.625" bestFit="1" customWidth="1"/>
    <col min="10630" max="10630" width="17.375" bestFit="1" customWidth="1"/>
    <col min="10631" max="10631" width="21.875" bestFit="1" customWidth="1"/>
    <col min="10632" max="10632" width="57.375" bestFit="1" customWidth="1"/>
    <col min="10633" max="10633" width="25.375" bestFit="1" customWidth="1"/>
    <col min="10634" max="10634" width="15.625" customWidth="1"/>
    <col min="10635" max="10635" width="32.125" bestFit="1" customWidth="1"/>
    <col min="10636" max="10636" width="22.625" bestFit="1" customWidth="1"/>
    <col min="10637" max="10637" width="24.875" bestFit="1" customWidth="1"/>
    <col min="10638" max="10638" width="25.625" customWidth="1"/>
    <col min="10639" max="10639" width="31.375" bestFit="1" customWidth="1"/>
    <col min="10640" max="10640" width="24.625" customWidth="1"/>
    <col min="10641" max="10641" width="31.625" bestFit="1" customWidth="1"/>
    <col min="10642" max="10642" width="51.625" bestFit="1" customWidth="1"/>
    <col min="10643" max="10643" width="57.375" bestFit="1" customWidth="1"/>
    <col min="10644" max="10644" width="57.125" bestFit="1" customWidth="1"/>
    <col min="10645" max="10645" width="62.875" bestFit="1" customWidth="1"/>
    <col min="10646" max="10646" width="32.125" bestFit="1" customWidth="1"/>
    <col min="10752" max="10752" width="16.875" bestFit="1" customWidth="1"/>
    <col min="10753" max="10753" width="13.125" bestFit="1" customWidth="1"/>
    <col min="10754" max="10754" width="16.875" bestFit="1" customWidth="1"/>
    <col min="10755" max="10755" width="13.875" bestFit="1" customWidth="1"/>
    <col min="10756" max="10756" width="18.875" bestFit="1" customWidth="1"/>
    <col min="10757" max="10757" width="10.375" bestFit="1" customWidth="1"/>
    <col min="10758" max="10759" width="18.875" bestFit="1" customWidth="1"/>
    <col min="10760" max="10760" width="13.375" customWidth="1"/>
    <col min="10761" max="10762" width="18.875" bestFit="1" customWidth="1"/>
    <col min="10763" max="10763" width="15.125" bestFit="1" customWidth="1"/>
    <col min="10764" max="10764" width="15.375" bestFit="1" customWidth="1"/>
    <col min="10765" max="10765" width="16.625" customWidth="1"/>
    <col min="10766" max="10766" width="13.375" customWidth="1"/>
    <col min="10767" max="10767" width="16.875" bestFit="1" customWidth="1"/>
    <col min="10768" max="10768" width="14.875" bestFit="1" customWidth="1"/>
    <col min="10769" max="10769" width="20.625" bestFit="1" customWidth="1"/>
    <col min="10770" max="10770" width="18.375" bestFit="1" customWidth="1"/>
    <col min="10771" max="10771" width="13.375" bestFit="1" customWidth="1"/>
    <col min="10772" max="10772" width="36.375" customWidth="1"/>
    <col min="10773" max="10773" width="36.375" bestFit="1" customWidth="1"/>
    <col min="10774" max="10774" width="24.625" customWidth="1"/>
    <col min="10775" max="10775" width="36.375" bestFit="1" customWidth="1"/>
    <col min="10776" max="10776" width="21.625" bestFit="1" customWidth="1"/>
    <col min="10777" max="10777" width="21.875" bestFit="1" customWidth="1"/>
    <col min="10778" max="10778" width="21.625" bestFit="1" customWidth="1"/>
    <col min="10779" max="10779" width="13.875" bestFit="1" customWidth="1"/>
    <col min="10780" max="10780" width="10.375" bestFit="1" customWidth="1"/>
    <col min="10781" max="10781" width="18.875" bestFit="1" customWidth="1"/>
    <col min="10782" max="10782" width="10.375" bestFit="1" customWidth="1"/>
    <col min="10783" max="10783" width="98.875" bestFit="1" customWidth="1"/>
    <col min="10784" max="10784" width="17.625" bestFit="1" customWidth="1"/>
    <col min="10785" max="10785" width="26.625" bestFit="1" customWidth="1"/>
    <col min="10786" max="10786" width="23.375" bestFit="1" customWidth="1"/>
    <col min="10787" max="10787" width="15.375" bestFit="1" customWidth="1"/>
    <col min="10788" max="10788" width="202.625" customWidth="1"/>
    <col min="10789" max="10789" width="46.625" bestFit="1" customWidth="1"/>
    <col min="10790" max="10790" width="26.125" bestFit="1" customWidth="1"/>
    <col min="10791" max="10791" width="18.875" bestFit="1" customWidth="1"/>
    <col min="10792" max="10792" width="42.125" bestFit="1" customWidth="1"/>
    <col min="10793" max="10794" width="18.875" bestFit="1" customWidth="1"/>
    <col min="10795" max="10795" width="22.375" bestFit="1" customWidth="1"/>
    <col min="10796" max="10796" width="17.625" bestFit="1" customWidth="1"/>
    <col min="10797" max="10797" width="17.375" bestFit="1" customWidth="1"/>
    <col min="10798" max="10798" width="15.125" bestFit="1" customWidth="1"/>
    <col min="10799" max="10799" width="27.875" bestFit="1" customWidth="1"/>
    <col min="10800" max="10800" width="31.375" bestFit="1" customWidth="1"/>
    <col min="10801" max="10801" width="14.125" bestFit="1" customWidth="1"/>
    <col min="10802" max="10802" width="10.625" customWidth="1"/>
    <col min="10803" max="10804" width="20.625" customWidth="1"/>
    <col min="10805" max="10805" width="19.375" bestFit="1" customWidth="1"/>
    <col min="10806" max="10806" width="21.875" bestFit="1" customWidth="1"/>
    <col min="10807" max="10807" width="25.625" customWidth="1"/>
    <col min="10808" max="10808" width="25.875" bestFit="1" customWidth="1"/>
    <col min="10809" max="10809" width="19.625" customWidth="1"/>
    <col min="10810" max="10810" width="35.125" bestFit="1" customWidth="1"/>
    <col min="10811" max="10811" width="27.125" bestFit="1" customWidth="1"/>
    <col min="10812" max="10812" width="36.125" bestFit="1" customWidth="1"/>
    <col min="10813" max="10813" width="27.875" bestFit="1" customWidth="1"/>
    <col min="10814" max="10814" width="19.375" bestFit="1" customWidth="1"/>
    <col min="10815" max="10815" width="17.625" bestFit="1" customWidth="1"/>
    <col min="10816" max="10816" width="30.125" bestFit="1" customWidth="1"/>
    <col min="10817" max="10817" width="25.625" customWidth="1"/>
    <col min="10818" max="10818" width="23.125" bestFit="1" customWidth="1"/>
    <col min="10819" max="10819" width="25.625" customWidth="1"/>
    <col min="10820" max="10820" width="23.125" bestFit="1" customWidth="1"/>
    <col min="10821" max="10821" width="19.625" bestFit="1" customWidth="1"/>
    <col min="10822" max="10822" width="23.125" bestFit="1" customWidth="1"/>
    <col min="10823" max="10823" width="24.625" customWidth="1"/>
    <col min="10824" max="10824" width="23.125" bestFit="1" customWidth="1"/>
    <col min="10825" max="10825" width="19.625" bestFit="1" customWidth="1"/>
    <col min="10826" max="10826" width="17.625" bestFit="1" customWidth="1"/>
    <col min="10827" max="10828" width="21.875" bestFit="1" customWidth="1"/>
    <col min="10829" max="10829" width="25.625" customWidth="1"/>
    <col min="10830" max="10830" width="23.125" bestFit="1" customWidth="1"/>
    <col min="10831" max="10831" width="25.625" customWidth="1"/>
    <col min="10832" max="10832" width="23.125" bestFit="1" customWidth="1"/>
    <col min="10833" max="10833" width="19.625" bestFit="1" customWidth="1"/>
    <col min="10834" max="10834" width="23.125" bestFit="1" customWidth="1"/>
    <col min="10835" max="10835" width="24.625" customWidth="1"/>
    <col min="10836" max="10836" width="23.125" bestFit="1" customWidth="1"/>
    <col min="10837" max="10837" width="19.625" bestFit="1" customWidth="1"/>
    <col min="10838" max="10838" width="27.375" bestFit="1" customWidth="1"/>
    <col min="10839" max="10839" width="25.625" customWidth="1"/>
    <col min="10840" max="10840" width="27.375" bestFit="1" customWidth="1"/>
    <col min="10841" max="10841" width="23.875" bestFit="1" customWidth="1"/>
    <col min="10842" max="10842" width="27.375" bestFit="1" customWidth="1"/>
    <col min="10843" max="10843" width="24.625" customWidth="1"/>
    <col min="10844" max="10844" width="27.375" bestFit="1" customWidth="1"/>
    <col min="10845" max="10845" width="23.875" bestFit="1" customWidth="1"/>
    <col min="10846" max="10846" width="17.625" customWidth="1"/>
    <col min="10847" max="10847" width="18.125" customWidth="1"/>
    <col min="10848" max="10849" width="29.125" bestFit="1" customWidth="1"/>
    <col min="10850" max="10850" width="33.375" bestFit="1" customWidth="1"/>
    <col min="10851" max="10851" width="32.375" bestFit="1" customWidth="1"/>
    <col min="10852" max="10853" width="28.875" bestFit="1" customWidth="1"/>
    <col min="10854" max="10854" width="33.125" bestFit="1" customWidth="1"/>
    <col min="10855" max="10855" width="29.125" bestFit="1" customWidth="1"/>
    <col min="10856" max="10857" width="25.375" bestFit="1" customWidth="1"/>
    <col min="10858" max="10858" width="29.875" customWidth="1"/>
    <col min="10859" max="10859" width="16.375" bestFit="1" customWidth="1"/>
    <col min="10860" max="10860" width="19.375" bestFit="1" customWidth="1"/>
    <col min="10861" max="10861" width="27.625" bestFit="1" customWidth="1"/>
    <col min="10862" max="10862" width="10.375" bestFit="1" customWidth="1"/>
    <col min="10863" max="10863" width="18.875" bestFit="1" customWidth="1"/>
    <col min="10864" max="10864" width="24.625" customWidth="1"/>
    <col min="10865" max="10865" width="17.625" bestFit="1" customWidth="1"/>
    <col min="10866" max="10866" width="24.875" bestFit="1" customWidth="1"/>
    <col min="10867" max="10867" width="21.875" bestFit="1" customWidth="1"/>
    <col min="10868" max="10868" width="12.125" bestFit="1" customWidth="1"/>
    <col min="10869" max="10869" width="17.375" bestFit="1" customWidth="1"/>
    <col min="10870" max="10870" width="13.375" bestFit="1" customWidth="1"/>
    <col min="10871" max="10871" width="17.375" bestFit="1" customWidth="1"/>
    <col min="10872" max="10879" width="8.625" bestFit="1" customWidth="1"/>
    <col min="10880" max="10880" width="10.125" bestFit="1" customWidth="1"/>
    <col min="10881" max="10884" width="8.625" bestFit="1" customWidth="1"/>
    <col min="10885" max="10885" width="5.625" bestFit="1" customWidth="1"/>
    <col min="10886" max="10886" width="17.375" bestFit="1" customWidth="1"/>
    <col min="10887" max="10887" width="21.875" bestFit="1" customWidth="1"/>
    <col min="10888" max="10888" width="57.375" bestFit="1" customWidth="1"/>
    <col min="10889" max="10889" width="25.375" bestFit="1" customWidth="1"/>
    <col min="10890" max="10890" width="15.625" customWidth="1"/>
    <col min="10891" max="10891" width="32.125" bestFit="1" customWidth="1"/>
    <col min="10892" max="10892" width="22.625" bestFit="1" customWidth="1"/>
    <col min="10893" max="10893" width="24.875" bestFit="1" customWidth="1"/>
    <col min="10894" max="10894" width="25.625" customWidth="1"/>
    <col min="10895" max="10895" width="31.375" bestFit="1" customWidth="1"/>
    <col min="10896" max="10896" width="24.625" customWidth="1"/>
    <col min="10897" max="10897" width="31.625" bestFit="1" customWidth="1"/>
    <col min="10898" max="10898" width="51.625" bestFit="1" customWidth="1"/>
    <col min="10899" max="10899" width="57.375" bestFit="1" customWidth="1"/>
    <col min="10900" max="10900" width="57.125" bestFit="1" customWidth="1"/>
    <col min="10901" max="10901" width="62.875" bestFit="1" customWidth="1"/>
    <col min="10902" max="10902" width="32.125" bestFit="1" customWidth="1"/>
    <col min="11008" max="11008" width="16.875" bestFit="1" customWidth="1"/>
    <col min="11009" max="11009" width="13.125" bestFit="1" customWidth="1"/>
    <col min="11010" max="11010" width="16.875" bestFit="1" customWidth="1"/>
    <col min="11011" max="11011" width="13.875" bestFit="1" customWidth="1"/>
    <col min="11012" max="11012" width="18.875" bestFit="1" customWidth="1"/>
    <col min="11013" max="11013" width="10.375" bestFit="1" customWidth="1"/>
    <col min="11014" max="11015" width="18.875" bestFit="1" customWidth="1"/>
    <col min="11016" max="11016" width="13.375" customWidth="1"/>
    <col min="11017" max="11018" width="18.875" bestFit="1" customWidth="1"/>
    <col min="11019" max="11019" width="15.125" bestFit="1" customWidth="1"/>
    <col min="11020" max="11020" width="15.375" bestFit="1" customWidth="1"/>
    <col min="11021" max="11021" width="16.625" customWidth="1"/>
    <col min="11022" max="11022" width="13.375" customWidth="1"/>
    <col min="11023" max="11023" width="16.875" bestFit="1" customWidth="1"/>
    <col min="11024" max="11024" width="14.875" bestFit="1" customWidth="1"/>
    <col min="11025" max="11025" width="20.625" bestFit="1" customWidth="1"/>
    <col min="11026" max="11026" width="18.375" bestFit="1" customWidth="1"/>
    <col min="11027" max="11027" width="13.375" bestFit="1" customWidth="1"/>
    <col min="11028" max="11028" width="36.375" customWidth="1"/>
    <col min="11029" max="11029" width="36.375" bestFit="1" customWidth="1"/>
    <col min="11030" max="11030" width="24.625" customWidth="1"/>
    <col min="11031" max="11031" width="36.375" bestFit="1" customWidth="1"/>
    <col min="11032" max="11032" width="21.625" bestFit="1" customWidth="1"/>
    <col min="11033" max="11033" width="21.875" bestFit="1" customWidth="1"/>
    <col min="11034" max="11034" width="21.625" bestFit="1" customWidth="1"/>
    <col min="11035" max="11035" width="13.875" bestFit="1" customWidth="1"/>
    <col min="11036" max="11036" width="10.375" bestFit="1" customWidth="1"/>
    <col min="11037" max="11037" width="18.875" bestFit="1" customWidth="1"/>
    <col min="11038" max="11038" width="10.375" bestFit="1" customWidth="1"/>
    <col min="11039" max="11039" width="98.875" bestFit="1" customWidth="1"/>
    <col min="11040" max="11040" width="17.625" bestFit="1" customWidth="1"/>
    <col min="11041" max="11041" width="26.625" bestFit="1" customWidth="1"/>
    <col min="11042" max="11042" width="23.375" bestFit="1" customWidth="1"/>
    <col min="11043" max="11043" width="15.375" bestFit="1" customWidth="1"/>
    <col min="11044" max="11044" width="202.625" customWidth="1"/>
    <col min="11045" max="11045" width="46.625" bestFit="1" customWidth="1"/>
    <col min="11046" max="11046" width="26.125" bestFit="1" customWidth="1"/>
    <col min="11047" max="11047" width="18.875" bestFit="1" customWidth="1"/>
    <col min="11048" max="11048" width="42.125" bestFit="1" customWidth="1"/>
    <col min="11049" max="11050" width="18.875" bestFit="1" customWidth="1"/>
    <col min="11051" max="11051" width="22.375" bestFit="1" customWidth="1"/>
    <col min="11052" max="11052" width="17.625" bestFit="1" customWidth="1"/>
    <col min="11053" max="11053" width="17.375" bestFit="1" customWidth="1"/>
    <col min="11054" max="11054" width="15.125" bestFit="1" customWidth="1"/>
    <col min="11055" max="11055" width="27.875" bestFit="1" customWidth="1"/>
    <col min="11056" max="11056" width="31.375" bestFit="1" customWidth="1"/>
    <col min="11057" max="11057" width="14.125" bestFit="1" customWidth="1"/>
    <col min="11058" max="11058" width="10.625" customWidth="1"/>
    <col min="11059" max="11060" width="20.625" customWidth="1"/>
    <col min="11061" max="11061" width="19.375" bestFit="1" customWidth="1"/>
    <col min="11062" max="11062" width="21.875" bestFit="1" customWidth="1"/>
    <col min="11063" max="11063" width="25.625" customWidth="1"/>
    <col min="11064" max="11064" width="25.875" bestFit="1" customWidth="1"/>
    <col min="11065" max="11065" width="19.625" customWidth="1"/>
    <col min="11066" max="11066" width="35.125" bestFit="1" customWidth="1"/>
    <col min="11067" max="11067" width="27.125" bestFit="1" customWidth="1"/>
    <col min="11068" max="11068" width="36.125" bestFit="1" customWidth="1"/>
    <col min="11069" max="11069" width="27.875" bestFit="1" customWidth="1"/>
    <col min="11070" max="11070" width="19.375" bestFit="1" customWidth="1"/>
    <col min="11071" max="11071" width="17.625" bestFit="1" customWidth="1"/>
    <col min="11072" max="11072" width="30.125" bestFit="1" customWidth="1"/>
    <col min="11073" max="11073" width="25.625" customWidth="1"/>
    <col min="11074" max="11074" width="23.125" bestFit="1" customWidth="1"/>
    <col min="11075" max="11075" width="25.625" customWidth="1"/>
    <col min="11076" max="11076" width="23.125" bestFit="1" customWidth="1"/>
    <col min="11077" max="11077" width="19.625" bestFit="1" customWidth="1"/>
    <col min="11078" max="11078" width="23.125" bestFit="1" customWidth="1"/>
    <col min="11079" max="11079" width="24.625" customWidth="1"/>
    <col min="11080" max="11080" width="23.125" bestFit="1" customWidth="1"/>
    <col min="11081" max="11081" width="19.625" bestFit="1" customWidth="1"/>
    <col min="11082" max="11082" width="17.625" bestFit="1" customWidth="1"/>
    <col min="11083" max="11084" width="21.875" bestFit="1" customWidth="1"/>
    <col min="11085" max="11085" width="25.625" customWidth="1"/>
    <col min="11086" max="11086" width="23.125" bestFit="1" customWidth="1"/>
    <col min="11087" max="11087" width="25.625" customWidth="1"/>
    <col min="11088" max="11088" width="23.125" bestFit="1" customWidth="1"/>
    <col min="11089" max="11089" width="19.625" bestFit="1" customWidth="1"/>
    <col min="11090" max="11090" width="23.125" bestFit="1" customWidth="1"/>
    <col min="11091" max="11091" width="24.625" customWidth="1"/>
    <col min="11092" max="11092" width="23.125" bestFit="1" customWidth="1"/>
    <col min="11093" max="11093" width="19.625" bestFit="1" customWidth="1"/>
    <col min="11094" max="11094" width="27.375" bestFit="1" customWidth="1"/>
    <col min="11095" max="11095" width="25.625" customWidth="1"/>
    <col min="11096" max="11096" width="27.375" bestFit="1" customWidth="1"/>
    <col min="11097" max="11097" width="23.875" bestFit="1" customWidth="1"/>
    <col min="11098" max="11098" width="27.375" bestFit="1" customWidth="1"/>
    <col min="11099" max="11099" width="24.625" customWidth="1"/>
    <col min="11100" max="11100" width="27.375" bestFit="1" customWidth="1"/>
    <col min="11101" max="11101" width="23.875" bestFit="1" customWidth="1"/>
    <col min="11102" max="11102" width="17.625" customWidth="1"/>
    <col min="11103" max="11103" width="18.125" customWidth="1"/>
    <col min="11104" max="11105" width="29.125" bestFit="1" customWidth="1"/>
    <col min="11106" max="11106" width="33.375" bestFit="1" customWidth="1"/>
    <col min="11107" max="11107" width="32.375" bestFit="1" customWidth="1"/>
    <col min="11108" max="11109" width="28.875" bestFit="1" customWidth="1"/>
    <col min="11110" max="11110" width="33.125" bestFit="1" customWidth="1"/>
    <col min="11111" max="11111" width="29.125" bestFit="1" customWidth="1"/>
    <col min="11112" max="11113" width="25.375" bestFit="1" customWidth="1"/>
    <col min="11114" max="11114" width="29.875" customWidth="1"/>
    <col min="11115" max="11115" width="16.375" bestFit="1" customWidth="1"/>
    <col min="11116" max="11116" width="19.375" bestFit="1" customWidth="1"/>
    <col min="11117" max="11117" width="27.625" bestFit="1" customWidth="1"/>
    <col min="11118" max="11118" width="10.375" bestFit="1" customWidth="1"/>
    <col min="11119" max="11119" width="18.875" bestFit="1" customWidth="1"/>
    <col min="11120" max="11120" width="24.625" customWidth="1"/>
    <col min="11121" max="11121" width="17.625" bestFit="1" customWidth="1"/>
    <col min="11122" max="11122" width="24.875" bestFit="1" customWidth="1"/>
    <col min="11123" max="11123" width="21.875" bestFit="1" customWidth="1"/>
    <col min="11124" max="11124" width="12.125" bestFit="1" customWidth="1"/>
    <col min="11125" max="11125" width="17.375" bestFit="1" customWidth="1"/>
    <col min="11126" max="11126" width="13.375" bestFit="1" customWidth="1"/>
    <col min="11127" max="11127" width="17.375" bestFit="1" customWidth="1"/>
    <col min="11128" max="11135" width="8.625" bestFit="1" customWidth="1"/>
    <col min="11136" max="11136" width="10.125" bestFit="1" customWidth="1"/>
    <col min="11137" max="11140" width="8.625" bestFit="1" customWidth="1"/>
    <col min="11141" max="11141" width="5.625" bestFit="1" customWidth="1"/>
    <col min="11142" max="11142" width="17.375" bestFit="1" customWidth="1"/>
    <col min="11143" max="11143" width="21.875" bestFit="1" customWidth="1"/>
    <col min="11144" max="11144" width="57.375" bestFit="1" customWidth="1"/>
    <col min="11145" max="11145" width="25.375" bestFit="1" customWidth="1"/>
    <col min="11146" max="11146" width="15.625" customWidth="1"/>
    <col min="11147" max="11147" width="32.125" bestFit="1" customWidth="1"/>
    <col min="11148" max="11148" width="22.625" bestFit="1" customWidth="1"/>
    <col min="11149" max="11149" width="24.875" bestFit="1" customWidth="1"/>
    <col min="11150" max="11150" width="25.625" customWidth="1"/>
    <col min="11151" max="11151" width="31.375" bestFit="1" customWidth="1"/>
    <col min="11152" max="11152" width="24.625" customWidth="1"/>
    <col min="11153" max="11153" width="31.625" bestFit="1" customWidth="1"/>
    <col min="11154" max="11154" width="51.625" bestFit="1" customWidth="1"/>
    <col min="11155" max="11155" width="57.375" bestFit="1" customWidth="1"/>
    <col min="11156" max="11156" width="57.125" bestFit="1" customWidth="1"/>
    <col min="11157" max="11157" width="62.875" bestFit="1" customWidth="1"/>
    <col min="11158" max="11158" width="32.125" bestFit="1" customWidth="1"/>
    <col min="11264" max="11264" width="16.875" bestFit="1" customWidth="1"/>
    <col min="11265" max="11265" width="13.125" bestFit="1" customWidth="1"/>
    <col min="11266" max="11266" width="16.875" bestFit="1" customWidth="1"/>
    <col min="11267" max="11267" width="13.875" bestFit="1" customWidth="1"/>
    <col min="11268" max="11268" width="18.875" bestFit="1" customWidth="1"/>
    <col min="11269" max="11269" width="10.375" bestFit="1" customWidth="1"/>
    <col min="11270" max="11271" width="18.875" bestFit="1" customWidth="1"/>
    <col min="11272" max="11272" width="13.375" customWidth="1"/>
    <col min="11273" max="11274" width="18.875" bestFit="1" customWidth="1"/>
    <col min="11275" max="11275" width="15.125" bestFit="1" customWidth="1"/>
    <col min="11276" max="11276" width="15.375" bestFit="1" customWidth="1"/>
    <col min="11277" max="11277" width="16.625" customWidth="1"/>
    <col min="11278" max="11278" width="13.375" customWidth="1"/>
    <col min="11279" max="11279" width="16.875" bestFit="1" customWidth="1"/>
    <col min="11280" max="11280" width="14.875" bestFit="1" customWidth="1"/>
    <col min="11281" max="11281" width="20.625" bestFit="1" customWidth="1"/>
    <col min="11282" max="11282" width="18.375" bestFit="1" customWidth="1"/>
    <col min="11283" max="11283" width="13.375" bestFit="1" customWidth="1"/>
    <col min="11284" max="11284" width="36.375" customWidth="1"/>
    <col min="11285" max="11285" width="36.375" bestFit="1" customWidth="1"/>
    <col min="11286" max="11286" width="24.625" customWidth="1"/>
    <col min="11287" max="11287" width="36.375" bestFit="1" customWidth="1"/>
    <col min="11288" max="11288" width="21.625" bestFit="1" customWidth="1"/>
    <col min="11289" max="11289" width="21.875" bestFit="1" customWidth="1"/>
    <col min="11290" max="11290" width="21.625" bestFit="1" customWidth="1"/>
    <col min="11291" max="11291" width="13.875" bestFit="1" customWidth="1"/>
    <col min="11292" max="11292" width="10.375" bestFit="1" customWidth="1"/>
    <col min="11293" max="11293" width="18.875" bestFit="1" customWidth="1"/>
    <col min="11294" max="11294" width="10.375" bestFit="1" customWidth="1"/>
    <col min="11295" max="11295" width="98.875" bestFit="1" customWidth="1"/>
    <col min="11296" max="11296" width="17.625" bestFit="1" customWidth="1"/>
    <col min="11297" max="11297" width="26.625" bestFit="1" customWidth="1"/>
    <col min="11298" max="11298" width="23.375" bestFit="1" customWidth="1"/>
    <col min="11299" max="11299" width="15.375" bestFit="1" customWidth="1"/>
    <col min="11300" max="11300" width="202.625" customWidth="1"/>
    <col min="11301" max="11301" width="46.625" bestFit="1" customWidth="1"/>
    <col min="11302" max="11302" width="26.125" bestFit="1" customWidth="1"/>
    <col min="11303" max="11303" width="18.875" bestFit="1" customWidth="1"/>
    <col min="11304" max="11304" width="42.125" bestFit="1" customWidth="1"/>
    <col min="11305" max="11306" width="18.875" bestFit="1" customWidth="1"/>
    <col min="11307" max="11307" width="22.375" bestFit="1" customWidth="1"/>
    <col min="11308" max="11308" width="17.625" bestFit="1" customWidth="1"/>
    <col min="11309" max="11309" width="17.375" bestFit="1" customWidth="1"/>
    <col min="11310" max="11310" width="15.125" bestFit="1" customWidth="1"/>
    <col min="11311" max="11311" width="27.875" bestFit="1" customWidth="1"/>
    <col min="11312" max="11312" width="31.375" bestFit="1" customWidth="1"/>
    <col min="11313" max="11313" width="14.125" bestFit="1" customWidth="1"/>
    <col min="11314" max="11314" width="10.625" customWidth="1"/>
    <col min="11315" max="11316" width="20.625" customWidth="1"/>
    <col min="11317" max="11317" width="19.375" bestFit="1" customWidth="1"/>
    <col min="11318" max="11318" width="21.875" bestFit="1" customWidth="1"/>
    <col min="11319" max="11319" width="25.625" customWidth="1"/>
    <col min="11320" max="11320" width="25.875" bestFit="1" customWidth="1"/>
    <col min="11321" max="11321" width="19.625" customWidth="1"/>
    <col min="11322" max="11322" width="35.125" bestFit="1" customWidth="1"/>
    <col min="11323" max="11323" width="27.125" bestFit="1" customWidth="1"/>
    <col min="11324" max="11324" width="36.125" bestFit="1" customWidth="1"/>
    <col min="11325" max="11325" width="27.875" bestFit="1" customWidth="1"/>
    <col min="11326" max="11326" width="19.375" bestFit="1" customWidth="1"/>
    <col min="11327" max="11327" width="17.625" bestFit="1" customWidth="1"/>
    <col min="11328" max="11328" width="30.125" bestFit="1" customWidth="1"/>
    <col min="11329" max="11329" width="25.625" customWidth="1"/>
    <col min="11330" max="11330" width="23.125" bestFit="1" customWidth="1"/>
    <col min="11331" max="11331" width="25.625" customWidth="1"/>
    <col min="11332" max="11332" width="23.125" bestFit="1" customWidth="1"/>
    <col min="11333" max="11333" width="19.625" bestFit="1" customWidth="1"/>
    <col min="11334" max="11334" width="23.125" bestFit="1" customWidth="1"/>
    <col min="11335" max="11335" width="24.625" customWidth="1"/>
    <col min="11336" max="11336" width="23.125" bestFit="1" customWidth="1"/>
    <col min="11337" max="11337" width="19.625" bestFit="1" customWidth="1"/>
    <col min="11338" max="11338" width="17.625" bestFit="1" customWidth="1"/>
    <col min="11339" max="11340" width="21.875" bestFit="1" customWidth="1"/>
    <col min="11341" max="11341" width="25.625" customWidth="1"/>
    <col min="11342" max="11342" width="23.125" bestFit="1" customWidth="1"/>
    <col min="11343" max="11343" width="25.625" customWidth="1"/>
    <col min="11344" max="11344" width="23.125" bestFit="1" customWidth="1"/>
    <col min="11345" max="11345" width="19.625" bestFit="1" customWidth="1"/>
    <col min="11346" max="11346" width="23.125" bestFit="1" customWidth="1"/>
    <col min="11347" max="11347" width="24.625" customWidth="1"/>
    <col min="11348" max="11348" width="23.125" bestFit="1" customWidth="1"/>
    <col min="11349" max="11349" width="19.625" bestFit="1" customWidth="1"/>
    <col min="11350" max="11350" width="27.375" bestFit="1" customWidth="1"/>
    <col min="11351" max="11351" width="25.625" customWidth="1"/>
    <col min="11352" max="11352" width="27.375" bestFit="1" customWidth="1"/>
    <col min="11353" max="11353" width="23.875" bestFit="1" customWidth="1"/>
    <col min="11354" max="11354" width="27.375" bestFit="1" customWidth="1"/>
    <col min="11355" max="11355" width="24.625" customWidth="1"/>
    <col min="11356" max="11356" width="27.375" bestFit="1" customWidth="1"/>
    <col min="11357" max="11357" width="23.875" bestFit="1" customWidth="1"/>
    <col min="11358" max="11358" width="17.625" customWidth="1"/>
    <col min="11359" max="11359" width="18.125" customWidth="1"/>
    <col min="11360" max="11361" width="29.125" bestFit="1" customWidth="1"/>
    <col min="11362" max="11362" width="33.375" bestFit="1" customWidth="1"/>
    <col min="11363" max="11363" width="32.375" bestFit="1" customWidth="1"/>
    <col min="11364" max="11365" width="28.875" bestFit="1" customWidth="1"/>
    <col min="11366" max="11366" width="33.125" bestFit="1" customWidth="1"/>
    <col min="11367" max="11367" width="29.125" bestFit="1" customWidth="1"/>
    <col min="11368" max="11369" width="25.375" bestFit="1" customWidth="1"/>
    <col min="11370" max="11370" width="29.875" customWidth="1"/>
    <col min="11371" max="11371" width="16.375" bestFit="1" customWidth="1"/>
    <col min="11372" max="11372" width="19.375" bestFit="1" customWidth="1"/>
    <col min="11373" max="11373" width="27.625" bestFit="1" customWidth="1"/>
    <col min="11374" max="11374" width="10.375" bestFit="1" customWidth="1"/>
    <col min="11375" max="11375" width="18.875" bestFit="1" customWidth="1"/>
    <col min="11376" max="11376" width="24.625" customWidth="1"/>
    <col min="11377" max="11377" width="17.625" bestFit="1" customWidth="1"/>
    <col min="11378" max="11378" width="24.875" bestFit="1" customWidth="1"/>
    <col min="11379" max="11379" width="21.875" bestFit="1" customWidth="1"/>
    <col min="11380" max="11380" width="12.125" bestFit="1" customWidth="1"/>
    <col min="11381" max="11381" width="17.375" bestFit="1" customWidth="1"/>
    <col min="11382" max="11382" width="13.375" bestFit="1" customWidth="1"/>
    <col min="11383" max="11383" width="17.375" bestFit="1" customWidth="1"/>
    <col min="11384" max="11391" width="8.625" bestFit="1" customWidth="1"/>
    <col min="11392" max="11392" width="10.125" bestFit="1" customWidth="1"/>
    <col min="11393" max="11396" width="8.625" bestFit="1" customWidth="1"/>
    <col min="11397" max="11397" width="5.625" bestFit="1" customWidth="1"/>
    <col min="11398" max="11398" width="17.375" bestFit="1" customWidth="1"/>
    <col min="11399" max="11399" width="21.875" bestFit="1" customWidth="1"/>
    <col min="11400" max="11400" width="57.375" bestFit="1" customWidth="1"/>
    <col min="11401" max="11401" width="25.375" bestFit="1" customWidth="1"/>
    <col min="11402" max="11402" width="15.625" customWidth="1"/>
    <col min="11403" max="11403" width="32.125" bestFit="1" customWidth="1"/>
    <col min="11404" max="11404" width="22.625" bestFit="1" customWidth="1"/>
    <col min="11405" max="11405" width="24.875" bestFit="1" customWidth="1"/>
    <col min="11406" max="11406" width="25.625" customWidth="1"/>
    <col min="11407" max="11407" width="31.375" bestFit="1" customWidth="1"/>
    <col min="11408" max="11408" width="24.625" customWidth="1"/>
    <col min="11409" max="11409" width="31.625" bestFit="1" customWidth="1"/>
    <col min="11410" max="11410" width="51.625" bestFit="1" customWidth="1"/>
    <col min="11411" max="11411" width="57.375" bestFit="1" customWidth="1"/>
    <col min="11412" max="11412" width="57.125" bestFit="1" customWidth="1"/>
    <col min="11413" max="11413" width="62.875" bestFit="1" customWidth="1"/>
    <col min="11414" max="11414" width="32.125" bestFit="1" customWidth="1"/>
    <col min="11520" max="11520" width="16.875" bestFit="1" customWidth="1"/>
    <col min="11521" max="11521" width="13.125" bestFit="1" customWidth="1"/>
    <col min="11522" max="11522" width="16.875" bestFit="1" customWidth="1"/>
    <col min="11523" max="11523" width="13.875" bestFit="1" customWidth="1"/>
    <col min="11524" max="11524" width="18.875" bestFit="1" customWidth="1"/>
    <col min="11525" max="11525" width="10.375" bestFit="1" customWidth="1"/>
    <col min="11526" max="11527" width="18.875" bestFit="1" customWidth="1"/>
    <col min="11528" max="11528" width="13.375" customWidth="1"/>
    <col min="11529" max="11530" width="18.875" bestFit="1" customWidth="1"/>
    <col min="11531" max="11531" width="15.125" bestFit="1" customWidth="1"/>
    <col min="11532" max="11532" width="15.375" bestFit="1" customWidth="1"/>
    <col min="11533" max="11533" width="16.625" customWidth="1"/>
    <col min="11534" max="11534" width="13.375" customWidth="1"/>
    <col min="11535" max="11535" width="16.875" bestFit="1" customWidth="1"/>
    <col min="11536" max="11536" width="14.875" bestFit="1" customWidth="1"/>
    <col min="11537" max="11537" width="20.625" bestFit="1" customWidth="1"/>
    <col min="11538" max="11538" width="18.375" bestFit="1" customWidth="1"/>
    <col min="11539" max="11539" width="13.375" bestFit="1" customWidth="1"/>
    <col min="11540" max="11540" width="36.375" customWidth="1"/>
    <col min="11541" max="11541" width="36.375" bestFit="1" customWidth="1"/>
    <col min="11542" max="11542" width="24.625" customWidth="1"/>
    <col min="11543" max="11543" width="36.375" bestFit="1" customWidth="1"/>
    <col min="11544" max="11544" width="21.625" bestFit="1" customWidth="1"/>
    <col min="11545" max="11545" width="21.875" bestFit="1" customWidth="1"/>
    <col min="11546" max="11546" width="21.625" bestFit="1" customWidth="1"/>
    <col min="11547" max="11547" width="13.875" bestFit="1" customWidth="1"/>
    <col min="11548" max="11548" width="10.375" bestFit="1" customWidth="1"/>
    <col min="11549" max="11549" width="18.875" bestFit="1" customWidth="1"/>
    <col min="11550" max="11550" width="10.375" bestFit="1" customWidth="1"/>
    <col min="11551" max="11551" width="98.875" bestFit="1" customWidth="1"/>
    <col min="11552" max="11552" width="17.625" bestFit="1" customWidth="1"/>
    <col min="11553" max="11553" width="26.625" bestFit="1" customWidth="1"/>
    <col min="11554" max="11554" width="23.375" bestFit="1" customWidth="1"/>
    <col min="11555" max="11555" width="15.375" bestFit="1" customWidth="1"/>
    <col min="11556" max="11556" width="202.625" customWidth="1"/>
    <col min="11557" max="11557" width="46.625" bestFit="1" customWidth="1"/>
    <col min="11558" max="11558" width="26.125" bestFit="1" customWidth="1"/>
    <col min="11559" max="11559" width="18.875" bestFit="1" customWidth="1"/>
    <col min="11560" max="11560" width="42.125" bestFit="1" customWidth="1"/>
    <col min="11561" max="11562" width="18.875" bestFit="1" customWidth="1"/>
    <col min="11563" max="11563" width="22.375" bestFit="1" customWidth="1"/>
    <col min="11564" max="11564" width="17.625" bestFit="1" customWidth="1"/>
    <col min="11565" max="11565" width="17.375" bestFit="1" customWidth="1"/>
    <col min="11566" max="11566" width="15.125" bestFit="1" customWidth="1"/>
    <col min="11567" max="11567" width="27.875" bestFit="1" customWidth="1"/>
    <col min="11568" max="11568" width="31.375" bestFit="1" customWidth="1"/>
    <col min="11569" max="11569" width="14.125" bestFit="1" customWidth="1"/>
    <col min="11570" max="11570" width="10.625" customWidth="1"/>
    <col min="11571" max="11572" width="20.625" customWidth="1"/>
    <col min="11573" max="11573" width="19.375" bestFit="1" customWidth="1"/>
    <col min="11574" max="11574" width="21.875" bestFit="1" customWidth="1"/>
    <col min="11575" max="11575" width="25.625" customWidth="1"/>
    <col min="11576" max="11576" width="25.875" bestFit="1" customWidth="1"/>
    <col min="11577" max="11577" width="19.625" customWidth="1"/>
    <col min="11578" max="11578" width="35.125" bestFit="1" customWidth="1"/>
    <col min="11579" max="11579" width="27.125" bestFit="1" customWidth="1"/>
    <col min="11580" max="11580" width="36.125" bestFit="1" customWidth="1"/>
    <col min="11581" max="11581" width="27.875" bestFit="1" customWidth="1"/>
    <col min="11582" max="11582" width="19.375" bestFit="1" customWidth="1"/>
    <col min="11583" max="11583" width="17.625" bestFit="1" customWidth="1"/>
    <col min="11584" max="11584" width="30.125" bestFit="1" customWidth="1"/>
    <col min="11585" max="11585" width="25.625" customWidth="1"/>
    <col min="11586" max="11586" width="23.125" bestFit="1" customWidth="1"/>
    <col min="11587" max="11587" width="25.625" customWidth="1"/>
    <col min="11588" max="11588" width="23.125" bestFit="1" customWidth="1"/>
    <col min="11589" max="11589" width="19.625" bestFit="1" customWidth="1"/>
    <col min="11590" max="11590" width="23.125" bestFit="1" customWidth="1"/>
    <col min="11591" max="11591" width="24.625" customWidth="1"/>
    <col min="11592" max="11592" width="23.125" bestFit="1" customWidth="1"/>
    <col min="11593" max="11593" width="19.625" bestFit="1" customWidth="1"/>
    <col min="11594" max="11594" width="17.625" bestFit="1" customWidth="1"/>
    <col min="11595" max="11596" width="21.875" bestFit="1" customWidth="1"/>
    <col min="11597" max="11597" width="25.625" customWidth="1"/>
    <col min="11598" max="11598" width="23.125" bestFit="1" customWidth="1"/>
    <col min="11599" max="11599" width="25.625" customWidth="1"/>
    <col min="11600" max="11600" width="23.125" bestFit="1" customWidth="1"/>
    <col min="11601" max="11601" width="19.625" bestFit="1" customWidth="1"/>
    <col min="11602" max="11602" width="23.125" bestFit="1" customWidth="1"/>
    <col min="11603" max="11603" width="24.625" customWidth="1"/>
    <col min="11604" max="11604" width="23.125" bestFit="1" customWidth="1"/>
    <col min="11605" max="11605" width="19.625" bestFit="1" customWidth="1"/>
    <col min="11606" max="11606" width="27.375" bestFit="1" customWidth="1"/>
    <col min="11607" max="11607" width="25.625" customWidth="1"/>
    <col min="11608" max="11608" width="27.375" bestFit="1" customWidth="1"/>
    <col min="11609" max="11609" width="23.875" bestFit="1" customWidth="1"/>
    <col min="11610" max="11610" width="27.375" bestFit="1" customWidth="1"/>
    <col min="11611" max="11611" width="24.625" customWidth="1"/>
    <col min="11612" max="11612" width="27.375" bestFit="1" customWidth="1"/>
    <col min="11613" max="11613" width="23.875" bestFit="1" customWidth="1"/>
    <col min="11614" max="11614" width="17.625" customWidth="1"/>
    <col min="11615" max="11615" width="18.125" customWidth="1"/>
    <col min="11616" max="11617" width="29.125" bestFit="1" customWidth="1"/>
    <col min="11618" max="11618" width="33.375" bestFit="1" customWidth="1"/>
    <col min="11619" max="11619" width="32.375" bestFit="1" customWidth="1"/>
    <col min="11620" max="11621" width="28.875" bestFit="1" customWidth="1"/>
    <col min="11622" max="11622" width="33.125" bestFit="1" customWidth="1"/>
    <col min="11623" max="11623" width="29.125" bestFit="1" customWidth="1"/>
    <col min="11624" max="11625" width="25.375" bestFit="1" customWidth="1"/>
    <col min="11626" max="11626" width="29.875" customWidth="1"/>
    <col min="11627" max="11627" width="16.375" bestFit="1" customWidth="1"/>
    <col min="11628" max="11628" width="19.375" bestFit="1" customWidth="1"/>
    <col min="11629" max="11629" width="27.625" bestFit="1" customWidth="1"/>
    <col min="11630" max="11630" width="10.375" bestFit="1" customWidth="1"/>
    <col min="11631" max="11631" width="18.875" bestFit="1" customWidth="1"/>
    <col min="11632" max="11632" width="24.625" customWidth="1"/>
    <col min="11633" max="11633" width="17.625" bestFit="1" customWidth="1"/>
    <col min="11634" max="11634" width="24.875" bestFit="1" customWidth="1"/>
    <col min="11635" max="11635" width="21.875" bestFit="1" customWidth="1"/>
    <col min="11636" max="11636" width="12.125" bestFit="1" customWidth="1"/>
    <col min="11637" max="11637" width="17.375" bestFit="1" customWidth="1"/>
    <col min="11638" max="11638" width="13.375" bestFit="1" customWidth="1"/>
    <col min="11639" max="11639" width="17.375" bestFit="1" customWidth="1"/>
    <col min="11640" max="11647" width="8.625" bestFit="1" customWidth="1"/>
    <col min="11648" max="11648" width="10.125" bestFit="1" customWidth="1"/>
    <col min="11649" max="11652" width="8.625" bestFit="1" customWidth="1"/>
    <col min="11653" max="11653" width="5.625" bestFit="1" customWidth="1"/>
    <col min="11654" max="11654" width="17.375" bestFit="1" customWidth="1"/>
    <col min="11655" max="11655" width="21.875" bestFit="1" customWidth="1"/>
    <col min="11656" max="11656" width="57.375" bestFit="1" customWidth="1"/>
    <col min="11657" max="11657" width="25.375" bestFit="1" customWidth="1"/>
    <col min="11658" max="11658" width="15.625" customWidth="1"/>
    <col min="11659" max="11659" width="32.125" bestFit="1" customWidth="1"/>
    <col min="11660" max="11660" width="22.625" bestFit="1" customWidth="1"/>
    <col min="11661" max="11661" width="24.875" bestFit="1" customWidth="1"/>
    <col min="11662" max="11662" width="25.625" customWidth="1"/>
    <col min="11663" max="11663" width="31.375" bestFit="1" customWidth="1"/>
    <col min="11664" max="11664" width="24.625" customWidth="1"/>
    <col min="11665" max="11665" width="31.625" bestFit="1" customWidth="1"/>
    <col min="11666" max="11666" width="51.625" bestFit="1" customWidth="1"/>
    <col min="11667" max="11667" width="57.375" bestFit="1" customWidth="1"/>
    <col min="11668" max="11668" width="57.125" bestFit="1" customWidth="1"/>
    <col min="11669" max="11669" width="62.875" bestFit="1" customWidth="1"/>
    <col min="11670" max="11670" width="32.125" bestFit="1" customWidth="1"/>
    <col min="11776" max="11776" width="16.875" bestFit="1" customWidth="1"/>
    <col min="11777" max="11777" width="13.125" bestFit="1" customWidth="1"/>
    <col min="11778" max="11778" width="16.875" bestFit="1" customWidth="1"/>
    <col min="11779" max="11779" width="13.875" bestFit="1" customWidth="1"/>
    <col min="11780" max="11780" width="18.875" bestFit="1" customWidth="1"/>
    <col min="11781" max="11781" width="10.375" bestFit="1" customWidth="1"/>
    <col min="11782" max="11783" width="18.875" bestFit="1" customWidth="1"/>
    <col min="11784" max="11784" width="13.375" customWidth="1"/>
    <col min="11785" max="11786" width="18.875" bestFit="1" customWidth="1"/>
    <col min="11787" max="11787" width="15.125" bestFit="1" customWidth="1"/>
    <col min="11788" max="11788" width="15.375" bestFit="1" customWidth="1"/>
    <col min="11789" max="11789" width="16.625" customWidth="1"/>
    <col min="11790" max="11790" width="13.375" customWidth="1"/>
    <col min="11791" max="11791" width="16.875" bestFit="1" customWidth="1"/>
    <col min="11792" max="11792" width="14.875" bestFit="1" customWidth="1"/>
    <col min="11793" max="11793" width="20.625" bestFit="1" customWidth="1"/>
    <col min="11794" max="11794" width="18.375" bestFit="1" customWidth="1"/>
    <col min="11795" max="11795" width="13.375" bestFit="1" customWidth="1"/>
    <col min="11796" max="11796" width="36.375" customWidth="1"/>
    <col min="11797" max="11797" width="36.375" bestFit="1" customWidth="1"/>
    <col min="11798" max="11798" width="24.625" customWidth="1"/>
    <col min="11799" max="11799" width="36.375" bestFit="1" customWidth="1"/>
    <col min="11800" max="11800" width="21.625" bestFit="1" customWidth="1"/>
    <col min="11801" max="11801" width="21.875" bestFit="1" customWidth="1"/>
    <col min="11802" max="11802" width="21.625" bestFit="1" customWidth="1"/>
    <col min="11803" max="11803" width="13.875" bestFit="1" customWidth="1"/>
    <col min="11804" max="11804" width="10.375" bestFit="1" customWidth="1"/>
    <col min="11805" max="11805" width="18.875" bestFit="1" customWidth="1"/>
    <col min="11806" max="11806" width="10.375" bestFit="1" customWidth="1"/>
    <col min="11807" max="11807" width="98.875" bestFit="1" customWidth="1"/>
    <col min="11808" max="11808" width="17.625" bestFit="1" customWidth="1"/>
    <col min="11809" max="11809" width="26.625" bestFit="1" customWidth="1"/>
    <col min="11810" max="11810" width="23.375" bestFit="1" customWidth="1"/>
    <col min="11811" max="11811" width="15.375" bestFit="1" customWidth="1"/>
    <col min="11812" max="11812" width="202.625" customWidth="1"/>
    <col min="11813" max="11813" width="46.625" bestFit="1" customWidth="1"/>
    <col min="11814" max="11814" width="26.125" bestFit="1" customWidth="1"/>
    <col min="11815" max="11815" width="18.875" bestFit="1" customWidth="1"/>
    <col min="11816" max="11816" width="42.125" bestFit="1" customWidth="1"/>
    <col min="11817" max="11818" width="18.875" bestFit="1" customWidth="1"/>
    <col min="11819" max="11819" width="22.375" bestFit="1" customWidth="1"/>
    <col min="11820" max="11820" width="17.625" bestFit="1" customWidth="1"/>
    <col min="11821" max="11821" width="17.375" bestFit="1" customWidth="1"/>
    <col min="11822" max="11822" width="15.125" bestFit="1" customWidth="1"/>
    <col min="11823" max="11823" width="27.875" bestFit="1" customWidth="1"/>
    <col min="11824" max="11824" width="31.375" bestFit="1" customWidth="1"/>
    <col min="11825" max="11825" width="14.125" bestFit="1" customWidth="1"/>
    <col min="11826" max="11826" width="10.625" customWidth="1"/>
    <col min="11827" max="11828" width="20.625" customWidth="1"/>
    <col min="11829" max="11829" width="19.375" bestFit="1" customWidth="1"/>
    <col min="11830" max="11830" width="21.875" bestFit="1" customWidth="1"/>
    <col min="11831" max="11831" width="25.625" customWidth="1"/>
    <col min="11832" max="11832" width="25.875" bestFit="1" customWidth="1"/>
    <col min="11833" max="11833" width="19.625" customWidth="1"/>
    <col min="11834" max="11834" width="35.125" bestFit="1" customWidth="1"/>
    <col min="11835" max="11835" width="27.125" bestFit="1" customWidth="1"/>
    <col min="11836" max="11836" width="36.125" bestFit="1" customWidth="1"/>
    <col min="11837" max="11837" width="27.875" bestFit="1" customWidth="1"/>
    <col min="11838" max="11838" width="19.375" bestFit="1" customWidth="1"/>
    <col min="11839" max="11839" width="17.625" bestFit="1" customWidth="1"/>
    <col min="11840" max="11840" width="30.125" bestFit="1" customWidth="1"/>
    <col min="11841" max="11841" width="25.625" customWidth="1"/>
    <col min="11842" max="11842" width="23.125" bestFit="1" customWidth="1"/>
    <col min="11843" max="11843" width="25.625" customWidth="1"/>
    <col min="11844" max="11844" width="23.125" bestFit="1" customWidth="1"/>
    <col min="11845" max="11845" width="19.625" bestFit="1" customWidth="1"/>
    <col min="11846" max="11846" width="23.125" bestFit="1" customWidth="1"/>
    <col min="11847" max="11847" width="24.625" customWidth="1"/>
    <col min="11848" max="11848" width="23.125" bestFit="1" customWidth="1"/>
    <col min="11849" max="11849" width="19.625" bestFit="1" customWidth="1"/>
    <col min="11850" max="11850" width="17.625" bestFit="1" customWidth="1"/>
    <col min="11851" max="11852" width="21.875" bestFit="1" customWidth="1"/>
    <col min="11853" max="11853" width="25.625" customWidth="1"/>
    <col min="11854" max="11854" width="23.125" bestFit="1" customWidth="1"/>
    <col min="11855" max="11855" width="25.625" customWidth="1"/>
    <col min="11856" max="11856" width="23.125" bestFit="1" customWidth="1"/>
    <col min="11857" max="11857" width="19.625" bestFit="1" customWidth="1"/>
    <col min="11858" max="11858" width="23.125" bestFit="1" customWidth="1"/>
    <col min="11859" max="11859" width="24.625" customWidth="1"/>
    <col min="11860" max="11860" width="23.125" bestFit="1" customWidth="1"/>
    <col min="11861" max="11861" width="19.625" bestFit="1" customWidth="1"/>
    <col min="11862" max="11862" width="27.375" bestFit="1" customWidth="1"/>
    <col min="11863" max="11863" width="25.625" customWidth="1"/>
    <col min="11864" max="11864" width="27.375" bestFit="1" customWidth="1"/>
    <col min="11865" max="11865" width="23.875" bestFit="1" customWidth="1"/>
    <col min="11866" max="11866" width="27.375" bestFit="1" customWidth="1"/>
    <col min="11867" max="11867" width="24.625" customWidth="1"/>
    <col min="11868" max="11868" width="27.375" bestFit="1" customWidth="1"/>
    <col min="11869" max="11869" width="23.875" bestFit="1" customWidth="1"/>
    <col min="11870" max="11870" width="17.625" customWidth="1"/>
    <col min="11871" max="11871" width="18.125" customWidth="1"/>
    <col min="11872" max="11873" width="29.125" bestFit="1" customWidth="1"/>
    <col min="11874" max="11874" width="33.375" bestFit="1" customWidth="1"/>
    <col min="11875" max="11875" width="32.375" bestFit="1" customWidth="1"/>
    <col min="11876" max="11877" width="28.875" bestFit="1" customWidth="1"/>
    <col min="11878" max="11878" width="33.125" bestFit="1" customWidth="1"/>
    <col min="11879" max="11879" width="29.125" bestFit="1" customWidth="1"/>
    <col min="11880" max="11881" width="25.375" bestFit="1" customWidth="1"/>
    <col min="11882" max="11882" width="29.875" customWidth="1"/>
    <col min="11883" max="11883" width="16.375" bestFit="1" customWidth="1"/>
    <col min="11884" max="11884" width="19.375" bestFit="1" customWidth="1"/>
    <col min="11885" max="11885" width="27.625" bestFit="1" customWidth="1"/>
    <col min="11886" max="11886" width="10.375" bestFit="1" customWidth="1"/>
    <col min="11887" max="11887" width="18.875" bestFit="1" customWidth="1"/>
    <col min="11888" max="11888" width="24.625" customWidth="1"/>
    <col min="11889" max="11889" width="17.625" bestFit="1" customWidth="1"/>
    <col min="11890" max="11890" width="24.875" bestFit="1" customWidth="1"/>
    <col min="11891" max="11891" width="21.875" bestFit="1" customWidth="1"/>
    <col min="11892" max="11892" width="12.125" bestFit="1" customWidth="1"/>
    <col min="11893" max="11893" width="17.375" bestFit="1" customWidth="1"/>
    <col min="11894" max="11894" width="13.375" bestFit="1" customWidth="1"/>
    <col min="11895" max="11895" width="17.375" bestFit="1" customWidth="1"/>
    <col min="11896" max="11903" width="8.625" bestFit="1" customWidth="1"/>
    <col min="11904" max="11904" width="10.125" bestFit="1" customWidth="1"/>
    <col min="11905" max="11908" width="8.625" bestFit="1" customWidth="1"/>
    <col min="11909" max="11909" width="5.625" bestFit="1" customWidth="1"/>
    <col min="11910" max="11910" width="17.375" bestFit="1" customWidth="1"/>
    <col min="11911" max="11911" width="21.875" bestFit="1" customWidth="1"/>
    <col min="11912" max="11912" width="57.375" bestFit="1" customWidth="1"/>
    <col min="11913" max="11913" width="25.375" bestFit="1" customWidth="1"/>
    <col min="11914" max="11914" width="15.625" customWidth="1"/>
    <col min="11915" max="11915" width="32.125" bestFit="1" customWidth="1"/>
    <col min="11916" max="11916" width="22.625" bestFit="1" customWidth="1"/>
    <col min="11917" max="11917" width="24.875" bestFit="1" customWidth="1"/>
    <col min="11918" max="11918" width="25.625" customWidth="1"/>
    <col min="11919" max="11919" width="31.375" bestFit="1" customWidth="1"/>
    <col min="11920" max="11920" width="24.625" customWidth="1"/>
    <col min="11921" max="11921" width="31.625" bestFit="1" customWidth="1"/>
    <col min="11922" max="11922" width="51.625" bestFit="1" customWidth="1"/>
    <col min="11923" max="11923" width="57.375" bestFit="1" customWidth="1"/>
    <col min="11924" max="11924" width="57.125" bestFit="1" customWidth="1"/>
    <col min="11925" max="11925" width="62.875" bestFit="1" customWidth="1"/>
    <col min="11926" max="11926" width="32.125" bestFit="1" customWidth="1"/>
    <col min="12032" max="12032" width="16.875" bestFit="1" customWidth="1"/>
    <col min="12033" max="12033" width="13.125" bestFit="1" customWidth="1"/>
    <col min="12034" max="12034" width="16.875" bestFit="1" customWidth="1"/>
    <col min="12035" max="12035" width="13.875" bestFit="1" customWidth="1"/>
    <col min="12036" max="12036" width="18.875" bestFit="1" customWidth="1"/>
    <col min="12037" max="12037" width="10.375" bestFit="1" customWidth="1"/>
    <col min="12038" max="12039" width="18.875" bestFit="1" customWidth="1"/>
    <col min="12040" max="12040" width="13.375" customWidth="1"/>
    <col min="12041" max="12042" width="18.875" bestFit="1" customWidth="1"/>
    <col min="12043" max="12043" width="15.125" bestFit="1" customWidth="1"/>
    <col min="12044" max="12044" width="15.375" bestFit="1" customWidth="1"/>
    <col min="12045" max="12045" width="16.625" customWidth="1"/>
    <col min="12046" max="12046" width="13.375" customWidth="1"/>
    <col min="12047" max="12047" width="16.875" bestFit="1" customWidth="1"/>
    <col min="12048" max="12048" width="14.875" bestFit="1" customWidth="1"/>
    <col min="12049" max="12049" width="20.625" bestFit="1" customWidth="1"/>
    <col min="12050" max="12050" width="18.375" bestFit="1" customWidth="1"/>
    <col min="12051" max="12051" width="13.375" bestFit="1" customWidth="1"/>
    <col min="12052" max="12052" width="36.375" customWidth="1"/>
    <col min="12053" max="12053" width="36.375" bestFit="1" customWidth="1"/>
    <col min="12054" max="12054" width="24.625" customWidth="1"/>
    <col min="12055" max="12055" width="36.375" bestFit="1" customWidth="1"/>
    <col min="12056" max="12056" width="21.625" bestFit="1" customWidth="1"/>
    <col min="12057" max="12057" width="21.875" bestFit="1" customWidth="1"/>
    <col min="12058" max="12058" width="21.625" bestFit="1" customWidth="1"/>
    <col min="12059" max="12059" width="13.875" bestFit="1" customWidth="1"/>
    <col min="12060" max="12060" width="10.375" bestFit="1" customWidth="1"/>
    <col min="12061" max="12061" width="18.875" bestFit="1" customWidth="1"/>
    <col min="12062" max="12062" width="10.375" bestFit="1" customWidth="1"/>
    <col min="12063" max="12063" width="98.875" bestFit="1" customWidth="1"/>
    <col min="12064" max="12064" width="17.625" bestFit="1" customWidth="1"/>
    <col min="12065" max="12065" width="26.625" bestFit="1" customWidth="1"/>
    <col min="12066" max="12066" width="23.375" bestFit="1" customWidth="1"/>
    <col min="12067" max="12067" width="15.375" bestFit="1" customWidth="1"/>
    <col min="12068" max="12068" width="202.625" customWidth="1"/>
    <col min="12069" max="12069" width="46.625" bestFit="1" customWidth="1"/>
    <col min="12070" max="12070" width="26.125" bestFit="1" customWidth="1"/>
    <col min="12071" max="12071" width="18.875" bestFit="1" customWidth="1"/>
    <col min="12072" max="12072" width="42.125" bestFit="1" customWidth="1"/>
    <col min="12073" max="12074" width="18.875" bestFit="1" customWidth="1"/>
    <col min="12075" max="12075" width="22.375" bestFit="1" customWidth="1"/>
    <col min="12076" max="12076" width="17.625" bestFit="1" customWidth="1"/>
    <col min="12077" max="12077" width="17.375" bestFit="1" customWidth="1"/>
    <col min="12078" max="12078" width="15.125" bestFit="1" customWidth="1"/>
    <col min="12079" max="12079" width="27.875" bestFit="1" customWidth="1"/>
    <col min="12080" max="12080" width="31.375" bestFit="1" customWidth="1"/>
    <col min="12081" max="12081" width="14.125" bestFit="1" customWidth="1"/>
    <col min="12082" max="12082" width="10.625" customWidth="1"/>
    <col min="12083" max="12084" width="20.625" customWidth="1"/>
    <col min="12085" max="12085" width="19.375" bestFit="1" customWidth="1"/>
    <col min="12086" max="12086" width="21.875" bestFit="1" customWidth="1"/>
    <col min="12087" max="12087" width="25.625" customWidth="1"/>
    <col min="12088" max="12088" width="25.875" bestFit="1" customWidth="1"/>
    <col min="12089" max="12089" width="19.625" customWidth="1"/>
    <col min="12090" max="12090" width="35.125" bestFit="1" customWidth="1"/>
    <col min="12091" max="12091" width="27.125" bestFit="1" customWidth="1"/>
    <col min="12092" max="12092" width="36.125" bestFit="1" customWidth="1"/>
    <col min="12093" max="12093" width="27.875" bestFit="1" customWidth="1"/>
    <col min="12094" max="12094" width="19.375" bestFit="1" customWidth="1"/>
    <col min="12095" max="12095" width="17.625" bestFit="1" customWidth="1"/>
    <col min="12096" max="12096" width="30.125" bestFit="1" customWidth="1"/>
    <col min="12097" max="12097" width="25.625" customWidth="1"/>
    <col min="12098" max="12098" width="23.125" bestFit="1" customWidth="1"/>
    <col min="12099" max="12099" width="25.625" customWidth="1"/>
    <col min="12100" max="12100" width="23.125" bestFit="1" customWidth="1"/>
    <col min="12101" max="12101" width="19.625" bestFit="1" customWidth="1"/>
    <col min="12102" max="12102" width="23.125" bestFit="1" customWidth="1"/>
    <col min="12103" max="12103" width="24.625" customWidth="1"/>
    <col min="12104" max="12104" width="23.125" bestFit="1" customWidth="1"/>
    <col min="12105" max="12105" width="19.625" bestFit="1" customWidth="1"/>
    <col min="12106" max="12106" width="17.625" bestFit="1" customWidth="1"/>
    <col min="12107" max="12108" width="21.875" bestFit="1" customWidth="1"/>
    <col min="12109" max="12109" width="25.625" customWidth="1"/>
    <col min="12110" max="12110" width="23.125" bestFit="1" customWidth="1"/>
    <col min="12111" max="12111" width="25.625" customWidth="1"/>
    <col min="12112" max="12112" width="23.125" bestFit="1" customWidth="1"/>
    <col min="12113" max="12113" width="19.625" bestFit="1" customWidth="1"/>
    <col min="12114" max="12114" width="23.125" bestFit="1" customWidth="1"/>
    <col min="12115" max="12115" width="24.625" customWidth="1"/>
    <col min="12116" max="12116" width="23.125" bestFit="1" customWidth="1"/>
    <col min="12117" max="12117" width="19.625" bestFit="1" customWidth="1"/>
    <col min="12118" max="12118" width="27.375" bestFit="1" customWidth="1"/>
    <col min="12119" max="12119" width="25.625" customWidth="1"/>
    <col min="12120" max="12120" width="27.375" bestFit="1" customWidth="1"/>
    <col min="12121" max="12121" width="23.875" bestFit="1" customWidth="1"/>
    <col min="12122" max="12122" width="27.375" bestFit="1" customWidth="1"/>
    <col min="12123" max="12123" width="24.625" customWidth="1"/>
    <col min="12124" max="12124" width="27.375" bestFit="1" customWidth="1"/>
    <col min="12125" max="12125" width="23.875" bestFit="1" customWidth="1"/>
    <col min="12126" max="12126" width="17.625" customWidth="1"/>
    <col min="12127" max="12127" width="18.125" customWidth="1"/>
    <col min="12128" max="12129" width="29.125" bestFit="1" customWidth="1"/>
    <col min="12130" max="12130" width="33.375" bestFit="1" customWidth="1"/>
    <col min="12131" max="12131" width="32.375" bestFit="1" customWidth="1"/>
    <col min="12132" max="12133" width="28.875" bestFit="1" customWidth="1"/>
    <col min="12134" max="12134" width="33.125" bestFit="1" customWidth="1"/>
    <col min="12135" max="12135" width="29.125" bestFit="1" customWidth="1"/>
    <col min="12136" max="12137" width="25.375" bestFit="1" customWidth="1"/>
    <col min="12138" max="12138" width="29.875" customWidth="1"/>
    <col min="12139" max="12139" width="16.375" bestFit="1" customWidth="1"/>
    <col min="12140" max="12140" width="19.375" bestFit="1" customWidth="1"/>
    <col min="12141" max="12141" width="27.625" bestFit="1" customWidth="1"/>
    <col min="12142" max="12142" width="10.375" bestFit="1" customWidth="1"/>
    <col min="12143" max="12143" width="18.875" bestFit="1" customWidth="1"/>
    <col min="12144" max="12144" width="24.625" customWidth="1"/>
    <col min="12145" max="12145" width="17.625" bestFit="1" customWidth="1"/>
    <col min="12146" max="12146" width="24.875" bestFit="1" customWidth="1"/>
    <col min="12147" max="12147" width="21.875" bestFit="1" customWidth="1"/>
    <col min="12148" max="12148" width="12.125" bestFit="1" customWidth="1"/>
    <col min="12149" max="12149" width="17.375" bestFit="1" customWidth="1"/>
    <col min="12150" max="12150" width="13.375" bestFit="1" customWidth="1"/>
    <col min="12151" max="12151" width="17.375" bestFit="1" customWidth="1"/>
    <col min="12152" max="12159" width="8.625" bestFit="1" customWidth="1"/>
    <col min="12160" max="12160" width="10.125" bestFit="1" customWidth="1"/>
    <col min="12161" max="12164" width="8.625" bestFit="1" customWidth="1"/>
    <col min="12165" max="12165" width="5.625" bestFit="1" customWidth="1"/>
    <col min="12166" max="12166" width="17.375" bestFit="1" customWidth="1"/>
    <col min="12167" max="12167" width="21.875" bestFit="1" customWidth="1"/>
    <col min="12168" max="12168" width="57.375" bestFit="1" customWidth="1"/>
    <col min="12169" max="12169" width="25.375" bestFit="1" customWidth="1"/>
    <col min="12170" max="12170" width="15.625" customWidth="1"/>
    <col min="12171" max="12171" width="32.125" bestFit="1" customWidth="1"/>
    <col min="12172" max="12172" width="22.625" bestFit="1" customWidth="1"/>
    <col min="12173" max="12173" width="24.875" bestFit="1" customWidth="1"/>
    <col min="12174" max="12174" width="25.625" customWidth="1"/>
    <col min="12175" max="12175" width="31.375" bestFit="1" customWidth="1"/>
    <col min="12176" max="12176" width="24.625" customWidth="1"/>
    <col min="12177" max="12177" width="31.625" bestFit="1" customWidth="1"/>
    <col min="12178" max="12178" width="51.625" bestFit="1" customWidth="1"/>
    <col min="12179" max="12179" width="57.375" bestFit="1" customWidth="1"/>
    <col min="12180" max="12180" width="57.125" bestFit="1" customWidth="1"/>
    <col min="12181" max="12181" width="62.875" bestFit="1" customWidth="1"/>
    <col min="12182" max="12182" width="32.125" bestFit="1" customWidth="1"/>
    <col min="12288" max="12288" width="16.875" bestFit="1" customWidth="1"/>
    <col min="12289" max="12289" width="13.125" bestFit="1" customWidth="1"/>
    <col min="12290" max="12290" width="16.875" bestFit="1" customWidth="1"/>
    <col min="12291" max="12291" width="13.875" bestFit="1" customWidth="1"/>
    <col min="12292" max="12292" width="18.875" bestFit="1" customWidth="1"/>
    <col min="12293" max="12293" width="10.375" bestFit="1" customWidth="1"/>
    <col min="12294" max="12295" width="18.875" bestFit="1" customWidth="1"/>
    <col min="12296" max="12296" width="13.375" customWidth="1"/>
    <col min="12297" max="12298" width="18.875" bestFit="1" customWidth="1"/>
    <col min="12299" max="12299" width="15.125" bestFit="1" customWidth="1"/>
    <col min="12300" max="12300" width="15.375" bestFit="1" customWidth="1"/>
    <col min="12301" max="12301" width="16.625" customWidth="1"/>
    <col min="12302" max="12302" width="13.375" customWidth="1"/>
    <col min="12303" max="12303" width="16.875" bestFit="1" customWidth="1"/>
    <col min="12304" max="12304" width="14.875" bestFit="1" customWidth="1"/>
    <col min="12305" max="12305" width="20.625" bestFit="1" customWidth="1"/>
    <col min="12306" max="12306" width="18.375" bestFit="1" customWidth="1"/>
    <col min="12307" max="12307" width="13.375" bestFit="1" customWidth="1"/>
    <col min="12308" max="12308" width="36.375" customWidth="1"/>
    <col min="12309" max="12309" width="36.375" bestFit="1" customWidth="1"/>
    <col min="12310" max="12310" width="24.625" customWidth="1"/>
    <col min="12311" max="12311" width="36.375" bestFit="1" customWidth="1"/>
    <col min="12312" max="12312" width="21.625" bestFit="1" customWidth="1"/>
    <col min="12313" max="12313" width="21.875" bestFit="1" customWidth="1"/>
    <col min="12314" max="12314" width="21.625" bestFit="1" customWidth="1"/>
    <col min="12315" max="12315" width="13.875" bestFit="1" customWidth="1"/>
    <col min="12316" max="12316" width="10.375" bestFit="1" customWidth="1"/>
    <col min="12317" max="12317" width="18.875" bestFit="1" customWidth="1"/>
    <col min="12318" max="12318" width="10.375" bestFit="1" customWidth="1"/>
    <col min="12319" max="12319" width="98.875" bestFit="1" customWidth="1"/>
    <col min="12320" max="12320" width="17.625" bestFit="1" customWidth="1"/>
    <col min="12321" max="12321" width="26.625" bestFit="1" customWidth="1"/>
    <col min="12322" max="12322" width="23.375" bestFit="1" customWidth="1"/>
    <col min="12323" max="12323" width="15.375" bestFit="1" customWidth="1"/>
    <col min="12324" max="12324" width="202.625" customWidth="1"/>
    <col min="12325" max="12325" width="46.625" bestFit="1" customWidth="1"/>
    <col min="12326" max="12326" width="26.125" bestFit="1" customWidth="1"/>
    <col min="12327" max="12327" width="18.875" bestFit="1" customWidth="1"/>
    <col min="12328" max="12328" width="42.125" bestFit="1" customWidth="1"/>
    <col min="12329" max="12330" width="18.875" bestFit="1" customWidth="1"/>
    <col min="12331" max="12331" width="22.375" bestFit="1" customWidth="1"/>
    <col min="12332" max="12332" width="17.625" bestFit="1" customWidth="1"/>
    <col min="12333" max="12333" width="17.375" bestFit="1" customWidth="1"/>
    <col min="12334" max="12334" width="15.125" bestFit="1" customWidth="1"/>
    <col min="12335" max="12335" width="27.875" bestFit="1" customWidth="1"/>
    <col min="12336" max="12336" width="31.375" bestFit="1" customWidth="1"/>
    <col min="12337" max="12337" width="14.125" bestFit="1" customWidth="1"/>
    <col min="12338" max="12338" width="10.625" customWidth="1"/>
    <col min="12339" max="12340" width="20.625" customWidth="1"/>
    <col min="12341" max="12341" width="19.375" bestFit="1" customWidth="1"/>
    <col min="12342" max="12342" width="21.875" bestFit="1" customWidth="1"/>
    <col min="12343" max="12343" width="25.625" customWidth="1"/>
    <col min="12344" max="12344" width="25.875" bestFit="1" customWidth="1"/>
    <col min="12345" max="12345" width="19.625" customWidth="1"/>
    <col min="12346" max="12346" width="35.125" bestFit="1" customWidth="1"/>
    <col min="12347" max="12347" width="27.125" bestFit="1" customWidth="1"/>
    <col min="12348" max="12348" width="36.125" bestFit="1" customWidth="1"/>
    <col min="12349" max="12349" width="27.875" bestFit="1" customWidth="1"/>
    <col min="12350" max="12350" width="19.375" bestFit="1" customWidth="1"/>
    <col min="12351" max="12351" width="17.625" bestFit="1" customWidth="1"/>
    <col min="12352" max="12352" width="30.125" bestFit="1" customWidth="1"/>
    <col min="12353" max="12353" width="25.625" customWidth="1"/>
    <col min="12354" max="12354" width="23.125" bestFit="1" customWidth="1"/>
    <col min="12355" max="12355" width="25.625" customWidth="1"/>
    <col min="12356" max="12356" width="23.125" bestFit="1" customWidth="1"/>
    <col min="12357" max="12357" width="19.625" bestFit="1" customWidth="1"/>
    <col min="12358" max="12358" width="23.125" bestFit="1" customWidth="1"/>
    <col min="12359" max="12359" width="24.625" customWidth="1"/>
    <col min="12360" max="12360" width="23.125" bestFit="1" customWidth="1"/>
    <col min="12361" max="12361" width="19.625" bestFit="1" customWidth="1"/>
    <col min="12362" max="12362" width="17.625" bestFit="1" customWidth="1"/>
    <col min="12363" max="12364" width="21.875" bestFit="1" customWidth="1"/>
    <col min="12365" max="12365" width="25.625" customWidth="1"/>
    <col min="12366" max="12366" width="23.125" bestFit="1" customWidth="1"/>
    <col min="12367" max="12367" width="25.625" customWidth="1"/>
    <col min="12368" max="12368" width="23.125" bestFit="1" customWidth="1"/>
    <col min="12369" max="12369" width="19.625" bestFit="1" customWidth="1"/>
    <col min="12370" max="12370" width="23.125" bestFit="1" customWidth="1"/>
    <col min="12371" max="12371" width="24.625" customWidth="1"/>
    <col min="12372" max="12372" width="23.125" bestFit="1" customWidth="1"/>
    <col min="12373" max="12373" width="19.625" bestFit="1" customWidth="1"/>
    <col min="12374" max="12374" width="27.375" bestFit="1" customWidth="1"/>
    <col min="12375" max="12375" width="25.625" customWidth="1"/>
    <col min="12376" max="12376" width="27.375" bestFit="1" customWidth="1"/>
    <col min="12377" max="12377" width="23.875" bestFit="1" customWidth="1"/>
    <col min="12378" max="12378" width="27.375" bestFit="1" customWidth="1"/>
    <col min="12379" max="12379" width="24.625" customWidth="1"/>
    <col min="12380" max="12380" width="27.375" bestFit="1" customWidth="1"/>
    <col min="12381" max="12381" width="23.875" bestFit="1" customWidth="1"/>
    <col min="12382" max="12382" width="17.625" customWidth="1"/>
    <col min="12383" max="12383" width="18.125" customWidth="1"/>
    <col min="12384" max="12385" width="29.125" bestFit="1" customWidth="1"/>
    <col min="12386" max="12386" width="33.375" bestFit="1" customWidth="1"/>
    <col min="12387" max="12387" width="32.375" bestFit="1" customWidth="1"/>
    <col min="12388" max="12389" width="28.875" bestFit="1" customWidth="1"/>
    <col min="12390" max="12390" width="33.125" bestFit="1" customWidth="1"/>
    <col min="12391" max="12391" width="29.125" bestFit="1" customWidth="1"/>
    <col min="12392" max="12393" width="25.375" bestFit="1" customWidth="1"/>
    <col min="12394" max="12394" width="29.875" customWidth="1"/>
    <col min="12395" max="12395" width="16.375" bestFit="1" customWidth="1"/>
    <col min="12396" max="12396" width="19.375" bestFit="1" customWidth="1"/>
    <col min="12397" max="12397" width="27.625" bestFit="1" customWidth="1"/>
    <col min="12398" max="12398" width="10.375" bestFit="1" customWidth="1"/>
    <col min="12399" max="12399" width="18.875" bestFit="1" customWidth="1"/>
    <col min="12400" max="12400" width="24.625" customWidth="1"/>
    <col min="12401" max="12401" width="17.625" bestFit="1" customWidth="1"/>
    <col min="12402" max="12402" width="24.875" bestFit="1" customWidth="1"/>
    <col min="12403" max="12403" width="21.875" bestFit="1" customWidth="1"/>
    <col min="12404" max="12404" width="12.125" bestFit="1" customWidth="1"/>
    <col min="12405" max="12405" width="17.375" bestFit="1" customWidth="1"/>
    <col min="12406" max="12406" width="13.375" bestFit="1" customWidth="1"/>
    <col min="12407" max="12407" width="17.375" bestFit="1" customWidth="1"/>
    <col min="12408" max="12415" width="8.625" bestFit="1" customWidth="1"/>
    <col min="12416" max="12416" width="10.125" bestFit="1" customWidth="1"/>
    <col min="12417" max="12420" width="8.625" bestFit="1" customWidth="1"/>
    <col min="12421" max="12421" width="5.625" bestFit="1" customWidth="1"/>
    <col min="12422" max="12422" width="17.375" bestFit="1" customWidth="1"/>
    <col min="12423" max="12423" width="21.875" bestFit="1" customWidth="1"/>
    <col min="12424" max="12424" width="57.375" bestFit="1" customWidth="1"/>
    <col min="12425" max="12425" width="25.375" bestFit="1" customWidth="1"/>
    <col min="12426" max="12426" width="15.625" customWidth="1"/>
    <col min="12427" max="12427" width="32.125" bestFit="1" customWidth="1"/>
    <col min="12428" max="12428" width="22.625" bestFit="1" customWidth="1"/>
    <col min="12429" max="12429" width="24.875" bestFit="1" customWidth="1"/>
    <col min="12430" max="12430" width="25.625" customWidth="1"/>
    <col min="12431" max="12431" width="31.375" bestFit="1" customWidth="1"/>
    <col min="12432" max="12432" width="24.625" customWidth="1"/>
    <col min="12433" max="12433" width="31.625" bestFit="1" customWidth="1"/>
    <col min="12434" max="12434" width="51.625" bestFit="1" customWidth="1"/>
    <col min="12435" max="12435" width="57.375" bestFit="1" customWidth="1"/>
    <col min="12436" max="12436" width="57.125" bestFit="1" customWidth="1"/>
    <col min="12437" max="12437" width="62.875" bestFit="1" customWidth="1"/>
    <col min="12438" max="12438" width="32.125" bestFit="1" customWidth="1"/>
    <col min="12544" max="12544" width="16.875" bestFit="1" customWidth="1"/>
    <col min="12545" max="12545" width="13.125" bestFit="1" customWidth="1"/>
    <col min="12546" max="12546" width="16.875" bestFit="1" customWidth="1"/>
    <col min="12547" max="12547" width="13.875" bestFit="1" customWidth="1"/>
    <col min="12548" max="12548" width="18.875" bestFit="1" customWidth="1"/>
    <col min="12549" max="12549" width="10.375" bestFit="1" customWidth="1"/>
    <col min="12550" max="12551" width="18.875" bestFit="1" customWidth="1"/>
    <col min="12552" max="12552" width="13.375" customWidth="1"/>
    <col min="12553" max="12554" width="18.875" bestFit="1" customWidth="1"/>
    <col min="12555" max="12555" width="15.125" bestFit="1" customWidth="1"/>
    <col min="12556" max="12556" width="15.375" bestFit="1" customWidth="1"/>
    <col min="12557" max="12557" width="16.625" customWidth="1"/>
    <col min="12558" max="12558" width="13.375" customWidth="1"/>
    <col min="12559" max="12559" width="16.875" bestFit="1" customWidth="1"/>
    <col min="12560" max="12560" width="14.875" bestFit="1" customWidth="1"/>
    <col min="12561" max="12561" width="20.625" bestFit="1" customWidth="1"/>
    <col min="12562" max="12562" width="18.375" bestFit="1" customWidth="1"/>
    <col min="12563" max="12563" width="13.375" bestFit="1" customWidth="1"/>
    <col min="12564" max="12564" width="36.375" customWidth="1"/>
    <col min="12565" max="12565" width="36.375" bestFit="1" customWidth="1"/>
    <col min="12566" max="12566" width="24.625" customWidth="1"/>
    <col min="12567" max="12567" width="36.375" bestFit="1" customWidth="1"/>
    <col min="12568" max="12568" width="21.625" bestFit="1" customWidth="1"/>
    <col min="12569" max="12569" width="21.875" bestFit="1" customWidth="1"/>
    <col min="12570" max="12570" width="21.625" bestFit="1" customWidth="1"/>
    <col min="12571" max="12571" width="13.875" bestFit="1" customWidth="1"/>
    <col min="12572" max="12572" width="10.375" bestFit="1" customWidth="1"/>
    <col min="12573" max="12573" width="18.875" bestFit="1" customWidth="1"/>
    <col min="12574" max="12574" width="10.375" bestFit="1" customWidth="1"/>
    <col min="12575" max="12575" width="98.875" bestFit="1" customWidth="1"/>
    <col min="12576" max="12576" width="17.625" bestFit="1" customWidth="1"/>
    <col min="12577" max="12577" width="26.625" bestFit="1" customWidth="1"/>
    <col min="12578" max="12578" width="23.375" bestFit="1" customWidth="1"/>
    <col min="12579" max="12579" width="15.375" bestFit="1" customWidth="1"/>
    <col min="12580" max="12580" width="202.625" customWidth="1"/>
    <col min="12581" max="12581" width="46.625" bestFit="1" customWidth="1"/>
    <col min="12582" max="12582" width="26.125" bestFit="1" customWidth="1"/>
    <col min="12583" max="12583" width="18.875" bestFit="1" customWidth="1"/>
    <col min="12584" max="12584" width="42.125" bestFit="1" customWidth="1"/>
    <col min="12585" max="12586" width="18.875" bestFit="1" customWidth="1"/>
    <col min="12587" max="12587" width="22.375" bestFit="1" customWidth="1"/>
    <col min="12588" max="12588" width="17.625" bestFit="1" customWidth="1"/>
    <col min="12589" max="12589" width="17.375" bestFit="1" customWidth="1"/>
    <col min="12590" max="12590" width="15.125" bestFit="1" customWidth="1"/>
    <col min="12591" max="12591" width="27.875" bestFit="1" customWidth="1"/>
    <col min="12592" max="12592" width="31.375" bestFit="1" customWidth="1"/>
    <col min="12593" max="12593" width="14.125" bestFit="1" customWidth="1"/>
    <col min="12594" max="12594" width="10.625" customWidth="1"/>
    <col min="12595" max="12596" width="20.625" customWidth="1"/>
    <col min="12597" max="12597" width="19.375" bestFit="1" customWidth="1"/>
    <col min="12598" max="12598" width="21.875" bestFit="1" customWidth="1"/>
    <col min="12599" max="12599" width="25.625" customWidth="1"/>
    <col min="12600" max="12600" width="25.875" bestFit="1" customWidth="1"/>
    <col min="12601" max="12601" width="19.625" customWidth="1"/>
    <col min="12602" max="12602" width="35.125" bestFit="1" customWidth="1"/>
    <col min="12603" max="12603" width="27.125" bestFit="1" customWidth="1"/>
    <col min="12604" max="12604" width="36.125" bestFit="1" customWidth="1"/>
    <col min="12605" max="12605" width="27.875" bestFit="1" customWidth="1"/>
    <col min="12606" max="12606" width="19.375" bestFit="1" customWidth="1"/>
    <col min="12607" max="12607" width="17.625" bestFit="1" customWidth="1"/>
    <col min="12608" max="12608" width="30.125" bestFit="1" customWidth="1"/>
    <col min="12609" max="12609" width="25.625" customWidth="1"/>
    <col min="12610" max="12610" width="23.125" bestFit="1" customWidth="1"/>
    <col min="12611" max="12611" width="25.625" customWidth="1"/>
    <col min="12612" max="12612" width="23.125" bestFit="1" customWidth="1"/>
    <col min="12613" max="12613" width="19.625" bestFit="1" customWidth="1"/>
    <col min="12614" max="12614" width="23.125" bestFit="1" customWidth="1"/>
    <col min="12615" max="12615" width="24.625" customWidth="1"/>
    <col min="12616" max="12616" width="23.125" bestFit="1" customWidth="1"/>
    <col min="12617" max="12617" width="19.625" bestFit="1" customWidth="1"/>
    <col min="12618" max="12618" width="17.625" bestFit="1" customWidth="1"/>
    <col min="12619" max="12620" width="21.875" bestFit="1" customWidth="1"/>
    <col min="12621" max="12621" width="25.625" customWidth="1"/>
    <col min="12622" max="12622" width="23.125" bestFit="1" customWidth="1"/>
    <col min="12623" max="12623" width="25.625" customWidth="1"/>
    <col min="12624" max="12624" width="23.125" bestFit="1" customWidth="1"/>
    <col min="12625" max="12625" width="19.625" bestFit="1" customWidth="1"/>
    <col min="12626" max="12626" width="23.125" bestFit="1" customWidth="1"/>
    <col min="12627" max="12627" width="24.625" customWidth="1"/>
    <col min="12628" max="12628" width="23.125" bestFit="1" customWidth="1"/>
    <col min="12629" max="12629" width="19.625" bestFit="1" customWidth="1"/>
    <col min="12630" max="12630" width="27.375" bestFit="1" customWidth="1"/>
    <col min="12631" max="12631" width="25.625" customWidth="1"/>
    <col min="12632" max="12632" width="27.375" bestFit="1" customWidth="1"/>
    <col min="12633" max="12633" width="23.875" bestFit="1" customWidth="1"/>
    <col min="12634" max="12634" width="27.375" bestFit="1" customWidth="1"/>
    <col min="12635" max="12635" width="24.625" customWidth="1"/>
    <col min="12636" max="12636" width="27.375" bestFit="1" customWidth="1"/>
    <col min="12637" max="12637" width="23.875" bestFit="1" customWidth="1"/>
    <col min="12638" max="12638" width="17.625" customWidth="1"/>
    <col min="12639" max="12639" width="18.125" customWidth="1"/>
    <col min="12640" max="12641" width="29.125" bestFit="1" customWidth="1"/>
    <col min="12642" max="12642" width="33.375" bestFit="1" customWidth="1"/>
    <col min="12643" max="12643" width="32.375" bestFit="1" customWidth="1"/>
    <col min="12644" max="12645" width="28.875" bestFit="1" customWidth="1"/>
    <col min="12646" max="12646" width="33.125" bestFit="1" customWidth="1"/>
    <col min="12647" max="12647" width="29.125" bestFit="1" customWidth="1"/>
    <col min="12648" max="12649" width="25.375" bestFit="1" customWidth="1"/>
    <col min="12650" max="12650" width="29.875" customWidth="1"/>
    <col min="12651" max="12651" width="16.375" bestFit="1" customWidth="1"/>
    <col min="12652" max="12652" width="19.375" bestFit="1" customWidth="1"/>
    <col min="12653" max="12653" width="27.625" bestFit="1" customWidth="1"/>
    <col min="12654" max="12654" width="10.375" bestFit="1" customWidth="1"/>
    <col min="12655" max="12655" width="18.875" bestFit="1" customWidth="1"/>
    <col min="12656" max="12656" width="24.625" customWidth="1"/>
    <col min="12657" max="12657" width="17.625" bestFit="1" customWidth="1"/>
    <col min="12658" max="12658" width="24.875" bestFit="1" customWidth="1"/>
    <col min="12659" max="12659" width="21.875" bestFit="1" customWidth="1"/>
    <col min="12660" max="12660" width="12.125" bestFit="1" customWidth="1"/>
    <col min="12661" max="12661" width="17.375" bestFit="1" customWidth="1"/>
    <col min="12662" max="12662" width="13.375" bestFit="1" customWidth="1"/>
    <col min="12663" max="12663" width="17.375" bestFit="1" customWidth="1"/>
    <col min="12664" max="12671" width="8.625" bestFit="1" customWidth="1"/>
    <col min="12672" max="12672" width="10.125" bestFit="1" customWidth="1"/>
    <col min="12673" max="12676" width="8.625" bestFit="1" customWidth="1"/>
    <col min="12677" max="12677" width="5.625" bestFit="1" customWidth="1"/>
    <col min="12678" max="12678" width="17.375" bestFit="1" customWidth="1"/>
    <col min="12679" max="12679" width="21.875" bestFit="1" customWidth="1"/>
    <col min="12680" max="12680" width="57.375" bestFit="1" customWidth="1"/>
    <col min="12681" max="12681" width="25.375" bestFit="1" customWidth="1"/>
    <col min="12682" max="12682" width="15.625" customWidth="1"/>
    <col min="12683" max="12683" width="32.125" bestFit="1" customWidth="1"/>
    <col min="12684" max="12684" width="22.625" bestFit="1" customWidth="1"/>
    <col min="12685" max="12685" width="24.875" bestFit="1" customWidth="1"/>
    <col min="12686" max="12686" width="25.625" customWidth="1"/>
    <col min="12687" max="12687" width="31.375" bestFit="1" customWidth="1"/>
    <col min="12688" max="12688" width="24.625" customWidth="1"/>
    <col min="12689" max="12689" width="31.625" bestFit="1" customWidth="1"/>
    <col min="12690" max="12690" width="51.625" bestFit="1" customWidth="1"/>
    <col min="12691" max="12691" width="57.375" bestFit="1" customWidth="1"/>
    <col min="12692" max="12692" width="57.125" bestFit="1" customWidth="1"/>
    <col min="12693" max="12693" width="62.875" bestFit="1" customWidth="1"/>
    <col min="12694" max="12694" width="32.125" bestFit="1" customWidth="1"/>
    <col min="12800" max="12800" width="16.875" bestFit="1" customWidth="1"/>
    <col min="12801" max="12801" width="13.125" bestFit="1" customWidth="1"/>
    <col min="12802" max="12802" width="16.875" bestFit="1" customWidth="1"/>
    <col min="12803" max="12803" width="13.875" bestFit="1" customWidth="1"/>
    <col min="12804" max="12804" width="18.875" bestFit="1" customWidth="1"/>
    <col min="12805" max="12805" width="10.375" bestFit="1" customWidth="1"/>
    <col min="12806" max="12807" width="18.875" bestFit="1" customWidth="1"/>
    <col min="12808" max="12808" width="13.375" customWidth="1"/>
    <col min="12809" max="12810" width="18.875" bestFit="1" customWidth="1"/>
    <col min="12811" max="12811" width="15.125" bestFit="1" customWidth="1"/>
    <col min="12812" max="12812" width="15.375" bestFit="1" customWidth="1"/>
    <col min="12813" max="12813" width="16.625" customWidth="1"/>
    <col min="12814" max="12814" width="13.375" customWidth="1"/>
    <col min="12815" max="12815" width="16.875" bestFit="1" customWidth="1"/>
    <col min="12816" max="12816" width="14.875" bestFit="1" customWidth="1"/>
    <col min="12817" max="12817" width="20.625" bestFit="1" customWidth="1"/>
    <col min="12818" max="12818" width="18.375" bestFit="1" customWidth="1"/>
    <col min="12819" max="12819" width="13.375" bestFit="1" customWidth="1"/>
    <col min="12820" max="12820" width="36.375" customWidth="1"/>
    <col min="12821" max="12821" width="36.375" bestFit="1" customWidth="1"/>
    <col min="12822" max="12822" width="24.625" customWidth="1"/>
    <col min="12823" max="12823" width="36.375" bestFit="1" customWidth="1"/>
    <col min="12824" max="12824" width="21.625" bestFit="1" customWidth="1"/>
    <col min="12825" max="12825" width="21.875" bestFit="1" customWidth="1"/>
    <col min="12826" max="12826" width="21.625" bestFit="1" customWidth="1"/>
    <col min="12827" max="12827" width="13.875" bestFit="1" customWidth="1"/>
    <col min="12828" max="12828" width="10.375" bestFit="1" customWidth="1"/>
    <col min="12829" max="12829" width="18.875" bestFit="1" customWidth="1"/>
    <col min="12830" max="12830" width="10.375" bestFit="1" customWidth="1"/>
    <col min="12831" max="12831" width="98.875" bestFit="1" customWidth="1"/>
    <col min="12832" max="12832" width="17.625" bestFit="1" customWidth="1"/>
    <col min="12833" max="12833" width="26.625" bestFit="1" customWidth="1"/>
    <col min="12834" max="12834" width="23.375" bestFit="1" customWidth="1"/>
    <col min="12835" max="12835" width="15.375" bestFit="1" customWidth="1"/>
    <col min="12836" max="12836" width="202.625" customWidth="1"/>
    <col min="12837" max="12837" width="46.625" bestFit="1" customWidth="1"/>
    <col min="12838" max="12838" width="26.125" bestFit="1" customWidth="1"/>
    <col min="12839" max="12839" width="18.875" bestFit="1" customWidth="1"/>
    <col min="12840" max="12840" width="42.125" bestFit="1" customWidth="1"/>
    <col min="12841" max="12842" width="18.875" bestFit="1" customWidth="1"/>
    <col min="12843" max="12843" width="22.375" bestFit="1" customWidth="1"/>
    <col min="12844" max="12844" width="17.625" bestFit="1" customWidth="1"/>
    <col min="12845" max="12845" width="17.375" bestFit="1" customWidth="1"/>
    <col min="12846" max="12846" width="15.125" bestFit="1" customWidth="1"/>
    <col min="12847" max="12847" width="27.875" bestFit="1" customWidth="1"/>
    <col min="12848" max="12848" width="31.375" bestFit="1" customWidth="1"/>
    <col min="12849" max="12849" width="14.125" bestFit="1" customWidth="1"/>
    <col min="12850" max="12850" width="10.625" customWidth="1"/>
    <col min="12851" max="12852" width="20.625" customWidth="1"/>
    <col min="12853" max="12853" width="19.375" bestFit="1" customWidth="1"/>
    <col min="12854" max="12854" width="21.875" bestFit="1" customWidth="1"/>
    <col min="12855" max="12855" width="25.625" customWidth="1"/>
    <col min="12856" max="12856" width="25.875" bestFit="1" customWidth="1"/>
    <col min="12857" max="12857" width="19.625" customWidth="1"/>
    <col min="12858" max="12858" width="35.125" bestFit="1" customWidth="1"/>
    <col min="12859" max="12859" width="27.125" bestFit="1" customWidth="1"/>
    <col min="12860" max="12860" width="36.125" bestFit="1" customWidth="1"/>
    <col min="12861" max="12861" width="27.875" bestFit="1" customWidth="1"/>
    <col min="12862" max="12862" width="19.375" bestFit="1" customWidth="1"/>
    <col min="12863" max="12863" width="17.625" bestFit="1" customWidth="1"/>
    <col min="12864" max="12864" width="30.125" bestFit="1" customWidth="1"/>
    <col min="12865" max="12865" width="25.625" customWidth="1"/>
    <col min="12866" max="12866" width="23.125" bestFit="1" customWidth="1"/>
    <col min="12867" max="12867" width="25.625" customWidth="1"/>
    <col min="12868" max="12868" width="23.125" bestFit="1" customWidth="1"/>
    <col min="12869" max="12869" width="19.625" bestFit="1" customWidth="1"/>
    <col min="12870" max="12870" width="23.125" bestFit="1" customWidth="1"/>
    <col min="12871" max="12871" width="24.625" customWidth="1"/>
    <col min="12872" max="12872" width="23.125" bestFit="1" customWidth="1"/>
    <col min="12873" max="12873" width="19.625" bestFit="1" customWidth="1"/>
    <col min="12874" max="12874" width="17.625" bestFit="1" customWidth="1"/>
    <col min="12875" max="12876" width="21.875" bestFit="1" customWidth="1"/>
    <col min="12877" max="12877" width="25.625" customWidth="1"/>
    <col min="12878" max="12878" width="23.125" bestFit="1" customWidth="1"/>
    <col min="12879" max="12879" width="25.625" customWidth="1"/>
    <col min="12880" max="12880" width="23.125" bestFit="1" customWidth="1"/>
    <col min="12881" max="12881" width="19.625" bestFit="1" customWidth="1"/>
    <col min="12882" max="12882" width="23.125" bestFit="1" customWidth="1"/>
    <col min="12883" max="12883" width="24.625" customWidth="1"/>
    <col min="12884" max="12884" width="23.125" bestFit="1" customWidth="1"/>
    <col min="12885" max="12885" width="19.625" bestFit="1" customWidth="1"/>
    <col min="12886" max="12886" width="27.375" bestFit="1" customWidth="1"/>
    <col min="12887" max="12887" width="25.625" customWidth="1"/>
    <col min="12888" max="12888" width="27.375" bestFit="1" customWidth="1"/>
    <col min="12889" max="12889" width="23.875" bestFit="1" customWidth="1"/>
    <col min="12890" max="12890" width="27.375" bestFit="1" customWidth="1"/>
    <col min="12891" max="12891" width="24.625" customWidth="1"/>
    <col min="12892" max="12892" width="27.375" bestFit="1" customWidth="1"/>
    <col min="12893" max="12893" width="23.875" bestFit="1" customWidth="1"/>
    <col min="12894" max="12894" width="17.625" customWidth="1"/>
    <col min="12895" max="12895" width="18.125" customWidth="1"/>
    <col min="12896" max="12897" width="29.125" bestFit="1" customWidth="1"/>
    <col min="12898" max="12898" width="33.375" bestFit="1" customWidth="1"/>
    <col min="12899" max="12899" width="32.375" bestFit="1" customWidth="1"/>
    <col min="12900" max="12901" width="28.875" bestFit="1" customWidth="1"/>
    <col min="12902" max="12902" width="33.125" bestFit="1" customWidth="1"/>
    <col min="12903" max="12903" width="29.125" bestFit="1" customWidth="1"/>
    <col min="12904" max="12905" width="25.375" bestFit="1" customWidth="1"/>
    <col min="12906" max="12906" width="29.875" customWidth="1"/>
    <col min="12907" max="12907" width="16.375" bestFit="1" customWidth="1"/>
    <col min="12908" max="12908" width="19.375" bestFit="1" customWidth="1"/>
    <col min="12909" max="12909" width="27.625" bestFit="1" customWidth="1"/>
    <col min="12910" max="12910" width="10.375" bestFit="1" customWidth="1"/>
    <col min="12911" max="12911" width="18.875" bestFit="1" customWidth="1"/>
    <col min="12912" max="12912" width="24.625" customWidth="1"/>
    <col min="12913" max="12913" width="17.625" bestFit="1" customWidth="1"/>
    <col min="12914" max="12914" width="24.875" bestFit="1" customWidth="1"/>
    <col min="12915" max="12915" width="21.875" bestFit="1" customWidth="1"/>
    <col min="12916" max="12916" width="12.125" bestFit="1" customWidth="1"/>
    <col min="12917" max="12917" width="17.375" bestFit="1" customWidth="1"/>
    <col min="12918" max="12918" width="13.375" bestFit="1" customWidth="1"/>
    <col min="12919" max="12919" width="17.375" bestFit="1" customWidth="1"/>
    <col min="12920" max="12927" width="8.625" bestFit="1" customWidth="1"/>
    <col min="12928" max="12928" width="10.125" bestFit="1" customWidth="1"/>
    <col min="12929" max="12932" width="8.625" bestFit="1" customWidth="1"/>
    <col min="12933" max="12933" width="5.625" bestFit="1" customWidth="1"/>
    <col min="12934" max="12934" width="17.375" bestFit="1" customWidth="1"/>
    <col min="12935" max="12935" width="21.875" bestFit="1" customWidth="1"/>
    <col min="12936" max="12936" width="57.375" bestFit="1" customWidth="1"/>
    <col min="12937" max="12937" width="25.375" bestFit="1" customWidth="1"/>
    <col min="12938" max="12938" width="15.625" customWidth="1"/>
    <col min="12939" max="12939" width="32.125" bestFit="1" customWidth="1"/>
    <col min="12940" max="12940" width="22.625" bestFit="1" customWidth="1"/>
    <col min="12941" max="12941" width="24.875" bestFit="1" customWidth="1"/>
    <col min="12942" max="12942" width="25.625" customWidth="1"/>
    <col min="12943" max="12943" width="31.375" bestFit="1" customWidth="1"/>
    <col min="12944" max="12944" width="24.625" customWidth="1"/>
    <col min="12945" max="12945" width="31.625" bestFit="1" customWidth="1"/>
    <col min="12946" max="12946" width="51.625" bestFit="1" customWidth="1"/>
    <col min="12947" max="12947" width="57.375" bestFit="1" customWidth="1"/>
    <col min="12948" max="12948" width="57.125" bestFit="1" customWidth="1"/>
    <col min="12949" max="12949" width="62.875" bestFit="1" customWidth="1"/>
    <col min="12950" max="12950" width="32.125" bestFit="1" customWidth="1"/>
    <col min="13056" max="13056" width="16.875" bestFit="1" customWidth="1"/>
    <col min="13057" max="13057" width="13.125" bestFit="1" customWidth="1"/>
    <col min="13058" max="13058" width="16.875" bestFit="1" customWidth="1"/>
    <col min="13059" max="13059" width="13.875" bestFit="1" customWidth="1"/>
    <col min="13060" max="13060" width="18.875" bestFit="1" customWidth="1"/>
    <col min="13061" max="13061" width="10.375" bestFit="1" customWidth="1"/>
    <col min="13062" max="13063" width="18.875" bestFit="1" customWidth="1"/>
    <col min="13064" max="13064" width="13.375" customWidth="1"/>
    <col min="13065" max="13066" width="18.875" bestFit="1" customWidth="1"/>
    <col min="13067" max="13067" width="15.125" bestFit="1" customWidth="1"/>
    <col min="13068" max="13068" width="15.375" bestFit="1" customWidth="1"/>
    <col min="13069" max="13069" width="16.625" customWidth="1"/>
    <col min="13070" max="13070" width="13.375" customWidth="1"/>
    <col min="13071" max="13071" width="16.875" bestFit="1" customWidth="1"/>
    <col min="13072" max="13072" width="14.875" bestFit="1" customWidth="1"/>
    <col min="13073" max="13073" width="20.625" bestFit="1" customWidth="1"/>
    <col min="13074" max="13074" width="18.375" bestFit="1" customWidth="1"/>
    <col min="13075" max="13075" width="13.375" bestFit="1" customWidth="1"/>
    <col min="13076" max="13076" width="36.375" customWidth="1"/>
    <col min="13077" max="13077" width="36.375" bestFit="1" customWidth="1"/>
    <col min="13078" max="13078" width="24.625" customWidth="1"/>
    <col min="13079" max="13079" width="36.375" bestFit="1" customWidth="1"/>
    <col min="13080" max="13080" width="21.625" bestFit="1" customWidth="1"/>
    <col min="13081" max="13081" width="21.875" bestFit="1" customWidth="1"/>
    <col min="13082" max="13082" width="21.625" bestFit="1" customWidth="1"/>
    <col min="13083" max="13083" width="13.875" bestFit="1" customWidth="1"/>
    <col min="13084" max="13084" width="10.375" bestFit="1" customWidth="1"/>
    <col min="13085" max="13085" width="18.875" bestFit="1" customWidth="1"/>
    <col min="13086" max="13086" width="10.375" bestFit="1" customWidth="1"/>
    <col min="13087" max="13087" width="98.875" bestFit="1" customWidth="1"/>
    <col min="13088" max="13088" width="17.625" bestFit="1" customWidth="1"/>
    <col min="13089" max="13089" width="26.625" bestFit="1" customWidth="1"/>
    <col min="13090" max="13090" width="23.375" bestFit="1" customWidth="1"/>
    <col min="13091" max="13091" width="15.375" bestFit="1" customWidth="1"/>
    <col min="13092" max="13092" width="202.625" customWidth="1"/>
    <col min="13093" max="13093" width="46.625" bestFit="1" customWidth="1"/>
    <col min="13094" max="13094" width="26.125" bestFit="1" customWidth="1"/>
    <col min="13095" max="13095" width="18.875" bestFit="1" customWidth="1"/>
    <col min="13096" max="13096" width="42.125" bestFit="1" customWidth="1"/>
    <col min="13097" max="13098" width="18.875" bestFit="1" customWidth="1"/>
    <col min="13099" max="13099" width="22.375" bestFit="1" customWidth="1"/>
    <col min="13100" max="13100" width="17.625" bestFit="1" customWidth="1"/>
    <col min="13101" max="13101" width="17.375" bestFit="1" customWidth="1"/>
    <col min="13102" max="13102" width="15.125" bestFit="1" customWidth="1"/>
    <col min="13103" max="13103" width="27.875" bestFit="1" customWidth="1"/>
    <col min="13104" max="13104" width="31.375" bestFit="1" customWidth="1"/>
    <col min="13105" max="13105" width="14.125" bestFit="1" customWidth="1"/>
    <col min="13106" max="13106" width="10.625" customWidth="1"/>
    <col min="13107" max="13108" width="20.625" customWidth="1"/>
    <col min="13109" max="13109" width="19.375" bestFit="1" customWidth="1"/>
    <col min="13110" max="13110" width="21.875" bestFit="1" customWidth="1"/>
    <col min="13111" max="13111" width="25.625" customWidth="1"/>
    <col min="13112" max="13112" width="25.875" bestFit="1" customWidth="1"/>
    <col min="13113" max="13113" width="19.625" customWidth="1"/>
    <col min="13114" max="13114" width="35.125" bestFit="1" customWidth="1"/>
    <col min="13115" max="13115" width="27.125" bestFit="1" customWidth="1"/>
    <col min="13116" max="13116" width="36.125" bestFit="1" customWidth="1"/>
    <col min="13117" max="13117" width="27.875" bestFit="1" customWidth="1"/>
    <col min="13118" max="13118" width="19.375" bestFit="1" customWidth="1"/>
    <col min="13119" max="13119" width="17.625" bestFit="1" customWidth="1"/>
    <col min="13120" max="13120" width="30.125" bestFit="1" customWidth="1"/>
    <col min="13121" max="13121" width="25.625" customWidth="1"/>
    <col min="13122" max="13122" width="23.125" bestFit="1" customWidth="1"/>
    <col min="13123" max="13123" width="25.625" customWidth="1"/>
    <col min="13124" max="13124" width="23.125" bestFit="1" customWidth="1"/>
    <col min="13125" max="13125" width="19.625" bestFit="1" customWidth="1"/>
    <col min="13126" max="13126" width="23.125" bestFit="1" customWidth="1"/>
    <col min="13127" max="13127" width="24.625" customWidth="1"/>
    <col min="13128" max="13128" width="23.125" bestFit="1" customWidth="1"/>
    <col min="13129" max="13129" width="19.625" bestFit="1" customWidth="1"/>
    <col min="13130" max="13130" width="17.625" bestFit="1" customWidth="1"/>
    <col min="13131" max="13132" width="21.875" bestFit="1" customWidth="1"/>
    <col min="13133" max="13133" width="25.625" customWidth="1"/>
    <col min="13134" max="13134" width="23.125" bestFit="1" customWidth="1"/>
    <col min="13135" max="13135" width="25.625" customWidth="1"/>
    <col min="13136" max="13136" width="23.125" bestFit="1" customWidth="1"/>
    <col min="13137" max="13137" width="19.625" bestFit="1" customWidth="1"/>
    <col min="13138" max="13138" width="23.125" bestFit="1" customWidth="1"/>
    <col min="13139" max="13139" width="24.625" customWidth="1"/>
    <col min="13140" max="13140" width="23.125" bestFit="1" customWidth="1"/>
    <col min="13141" max="13141" width="19.625" bestFit="1" customWidth="1"/>
    <col min="13142" max="13142" width="27.375" bestFit="1" customWidth="1"/>
    <col min="13143" max="13143" width="25.625" customWidth="1"/>
    <col min="13144" max="13144" width="27.375" bestFit="1" customWidth="1"/>
    <col min="13145" max="13145" width="23.875" bestFit="1" customWidth="1"/>
    <col min="13146" max="13146" width="27.375" bestFit="1" customWidth="1"/>
    <col min="13147" max="13147" width="24.625" customWidth="1"/>
    <col min="13148" max="13148" width="27.375" bestFit="1" customWidth="1"/>
    <col min="13149" max="13149" width="23.875" bestFit="1" customWidth="1"/>
    <col min="13150" max="13150" width="17.625" customWidth="1"/>
    <col min="13151" max="13151" width="18.125" customWidth="1"/>
    <col min="13152" max="13153" width="29.125" bestFit="1" customWidth="1"/>
    <col min="13154" max="13154" width="33.375" bestFit="1" customWidth="1"/>
    <col min="13155" max="13155" width="32.375" bestFit="1" customWidth="1"/>
    <col min="13156" max="13157" width="28.875" bestFit="1" customWidth="1"/>
    <col min="13158" max="13158" width="33.125" bestFit="1" customWidth="1"/>
    <col min="13159" max="13159" width="29.125" bestFit="1" customWidth="1"/>
    <col min="13160" max="13161" width="25.375" bestFit="1" customWidth="1"/>
    <col min="13162" max="13162" width="29.875" customWidth="1"/>
    <col min="13163" max="13163" width="16.375" bestFit="1" customWidth="1"/>
    <col min="13164" max="13164" width="19.375" bestFit="1" customWidth="1"/>
    <col min="13165" max="13165" width="27.625" bestFit="1" customWidth="1"/>
    <col min="13166" max="13166" width="10.375" bestFit="1" customWidth="1"/>
    <col min="13167" max="13167" width="18.875" bestFit="1" customWidth="1"/>
    <col min="13168" max="13168" width="24.625" customWidth="1"/>
    <col min="13169" max="13169" width="17.625" bestFit="1" customWidth="1"/>
    <col min="13170" max="13170" width="24.875" bestFit="1" customWidth="1"/>
    <col min="13171" max="13171" width="21.875" bestFit="1" customWidth="1"/>
    <col min="13172" max="13172" width="12.125" bestFit="1" customWidth="1"/>
    <col min="13173" max="13173" width="17.375" bestFit="1" customWidth="1"/>
    <col min="13174" max="13174" width="13.375" bestFit="1" customWidth="1"/>
    <col min="13175" max="13175" width="17.375" bestFit="1" customWidth="1"/>
    <col min="13176" max="13183" width="8.625" bestFit="1" customWidth="1"/>
    <col min="13184" max="13184" width="10.125" bestFit="1" customWidth="1"/>
    <col min="13185" max="13188" width="8.625" bestFit="1" customWidth="1"/>
    <col min="13189" max="13189" width="5.625" bestFit="1" customWidth="1"/>
    <col min="13190" max="13190" width="17.375" bestFit="1" customWidth="1"/>
    <col min="13191" max="13191" width="21.875" bestFit="1" customWidth="1"/>
    <col min="13192" max="13192" width="57.375" bestFit="1" customWidth="1"/>
    <col min="13193" max="13193" width="25.375" bestFit="1" customWidth="1"/>
    <col min="13194" max="13194" width="15.625" customWidth="1"/>
    <col min="13195" max="13195" width="32.125" bestFit="1" customWidth="1"/>
    <col min="13196" max="13196" width="22.625" bestFit="1" customWidth="1"/>
    <col min="13197" max="13197" width="24.875" bestFit="1" customWidth="1"/>
    <col min="13198" max="13198" width="25.625" customWidth="1"/>
    <col min="13199" max="13199" width="31.375" bestFit="1" customWidth="1"/>
    <col min="13200" max="13200" width="24.625" customWidth="1"/>
    <col min="13201" max="13201" width="31.625" bestFit="1" customWidth="1"/>
    <col min="13202" max="13202" width="51.625" bestFit="1" customWidth="1"/>
    <col min="13203" max="13203" width="57.375" bestFit="1" customWidth="1"/>
    <col min="13204" max="13204" width="57.125" bestFit="1" customWidth="1"/>
    <col min="13205" max="13205" width="62.875" bestFit="1" customWidth="1"/>
    <col min="13206" max="13206" width="32.125" bestFit="1" customWidth="1"/>
    <col min="13312" max="13312" width="16.875" bestFit="1" customWidth="1"/>
    <col min="13313" max="13313" width="13.125" bestFit="1" customWidth="1"/>
    <col min="13314" max="13314" width="16.875" bestFit="1" customWidth="1"/>
    <col min="13315" max="13315" width="13.875" bestFit="1" customWidth="1"/>
    <col min="13316" max="13316" width="18.875" bestFit="1" customWidth="1"/>
    <col min="13317" max="13317" width="10.375" bestFit="1" customWidth="1"/>
    <col min="13318" max="13319" width="18.875" bestFit="1" customWidth="1"/>
    <col min="13320" max="13320" width="13.375" customWidth="1"/>
    <col min="13321" max="13322" width="18.875" bestFit="1" customWidth="1"/>
    <col min="13323" max="13323" width="15.125" bestFit="1" customWidth="1"/>
    <col min="13324" max="13324" width="15.375" bestFit="1" customWidth="1"/>
    <col min="13325" max="13325" width="16.625" customWidth="1"/>
    <col min="13326" max="13326" width="13.375" customWidth="1"/>
    <col min="13327" max="13327" width="16.875" bestFit="1" customWidth="1"/>
    <col min="13328" max="13328" width="14.875" bestFit="1" customWidth="1"/>
    <col min="13329" max="13329" width="20.625" bestFit="1" customWidth="1"/>
    <col min="13330" max="13330" width="18.375" bestFit="1" customWidth="1"/>
    <col min="13331" max="13331" width="13.375" bestFit="1" customWidth="1"/>
    <col min="13332" max="13332" width="36.375" customWidth="1"/>
    <col min="13333" max="13333" width="36.375" bestFit="1" customWidth="1"/>
    <col min="13334" max="13334" width="24.625" customWidth="1"/>
    <col min="13335" max="13335" width="36.375" bestFit="1" customWidth="1"/>
    <col min="13336" max="13336" width="21.625" bestFit="1" customWidth="1"/>
    <col min="13337" max="13337" width="21.875" bestFit="1" customWidth="1"/>
    <col min="13338" max="13338" width="21.625" bestFit="1" customWidth="1"/>
    <col min="13339" max="13339" width="13.875" bestFit="1" customWidth="1"/>
    <col min="13340" max="13340" width="10.375" bestFit="1" customWidth="1"/>
    <col min="13341" max="13341" width="18.875" bestFit="1" customWidth="1"/>
    <col min="13342" max="13342" width="10.375" bestFit="1" customWidth="1"/>
    <col min="13343" max="13343" width="98.875" bestFit="1" customWidth="1"/>
    <col min="13344" max="13344" width="17.625" bestFit="1" customWidth="1"/>
    <col min="13345" max="13345" width="26.625" bestFit="1" customWidth="1"/>
    <col min="13346" max="13346" width="23.375" bestFit="1" customWidth="1"/>
    <col min="13347" max="13347" width="15.375" bestFit="1" customWidth="1"/>
    <col min="13348" max="13348" width="202.625" customWidth="1"/>
    <col min="13349" max="13349" width="46.625" bestFit="1" customWidth="1"/>
    <col min="13350" max="13350" width="26.125" bestFit="1" customWidth="1"/>
    <col min="13351" max="13351" width="18.875" bestFit="1" customWidth="1"/>
    <col min="13352" max="13352" width="42.125" bestFit="1" customWidth="1"/>
    <col min="13353" max="13354" width="18.875" bestFit="1" customWidth="1"/>
    <col min="13355" max="13355" width="22.375" bestFit="1" customWidth="1"/>
    <col min="13356" max="13356" width="17.625" bestFit="1" customWidth="1"/>
    <col min="13357" max="13357" width="17.375" bestFit="1" customWidth="1"/>
    <col min="13358" max="13358" width="15.125" bestFit="1" customWidth="1"/>
    <col min="13359" max="13359" width="27.875" bestFit="1" customWidth="1"/>
    <col min="13360" max="13360" width="31.375" bestFit="1" customWidth="1"/>
    <col min="13361" max="13361" width="14.125" bestFit="1" customWidth="1"/>
    <col min="13362" max="13362" width="10.625" customWidth="1"/>
    <col min="13363" max="13364" width="20.625" customWidth="1"/>
    <col min="13365" max="13365" width="19.375" bestFit="1" customWidth="1"/>
    <col min="13366" max="13366" width="21.875" bestFit="1" customWidth="1"/>
    <col min="13367" max="13367" width="25.625" customWidth="1"/>
    <col min="13368" max="13368" width="25.875" bestFit="1" customWidth="1"/>
    <col min="13369" max="13369" width="19.625" customWidth="1"/>
    <col min="13370" max="13370" width="35.125" bestFit="1" customWidth="1"/>
    <col min="13371" max="13371" width="27.125" bestFit="1" customWidth="1"/>
    <col min="13372" max="13372" width="36.125" bestFit="1" customWidth="1"/>
    <col min="13373" max="13373" width="27.875" bestFit="1" customWidth="1"/>
    <col min="13374" max="13374" width="19.375" bestFit="1" customWidth="1"/>
    <col min="13375" max="13375" width="17.625" bestFit="1" customWidth="1"/>
    <col min="13376" max="13376" width="30.125" bestFit="1" customWidth="1"/>
    <col min="13377" max="13377" width="25.625" customWidth="1"/>
    <col min="13378" max="13378" width="23.125" bestFit="1" customWidth="1"/>
    <col min="13379" max="13379" width="25.625" customWidth="1"/>
    <col min="13380" max="13380" width="23.125" bestFit="1" customWidth="1"/>
    <col min="13381" max="13381" width="19.625" bestFit="1" customWidth="1"/>
    <col min="13382" max="13382" width="23.125" bestFit="1" customWidth="1"/>
    <col min="13383" max="13383" width="24.625" customWidth="1"/>
    <col min="13384" max="13384" width="23.125" bestFit="1" customWidth="1"/>
    <col min="13385" max="13385" width="19.625" bestFit="1" customWidth="1"/>
    <col min="13386" max="13386" width="17.625" bestFit="1" customWidth="1"/>
    <col min="13387" max="13388" width="21.875" bestFit="1" customWidth="1"/>
    <col min="13389" max="13389" width="25.625" customWidth="1"/>
    <col min="13390" max="13390" width="23.125" bestFit="1" customWidth="1"/>
    <col min="13391" max="13391" width="25.625" customWidth="1"/>
    <col min="13392" max="13392" width="23.125" bestFit="1" customWidth="1"/>
    <col min="13393" max="13393" width="19.625" bestFit="1" customWidth="1"/>
    <col min="13394" max="13394" width="23.125" bestFit="1" customWidth="1"/>
    <col min="13395" max="13395" width="24.625" customWidth="1"/>
    <col min="13396" max="13396" width="23.125" bestFit="1" customWidth="1"/>
    <col min="13397" max="13397" width="19.625" bestFit="1" customWidth="1"/>
    <col min="13398" max="13398" width="27.375" bestFit="1" customWidth="1"/>
    <col min="13399" max="13399" width="25.625" customWidth="1"/>
    <col min="13400" max="13400" width="27.375" bestFit="1" customWidth="1"/>
    <col min="13401" max="13401" width="23.875" bestFit="1" customWidth="1"/>
    <col min="13402" max="13402" width="27.375" bestFit="1" customWidth="1"/>
    <col min="13403" max="13403" width="24.625" customWidth="1"/>
    <col min="13404" max="13404" width="27.375" bestFit="1" customWidth="1"/>
    <col min="13405" max="13405" width="23.875" bestFit="1" customWidth="1"/>
    <col min="13406" max="13406" width="17.625" customWidth="1"/>
    <col min="13407" max="13407" width="18.125" customWidth="1"/>
    <col min="13408" max="13409" width="29.125" bestFit="1" customWidth="1"/>
    <col min="13410" max="13410" width="33.375" bestFit="1" customWidth="1"/>
    <col min="13411" max="13411" width="32.375" bestFit="1" customWidth="1"/>
    <col min="13412" max="13413" width="28.875" bestFit="1" customWidth="1"/>
    <col min="13414" max="13414" width="33.125" bestFit="1" customWidth="1"/>
    <col min="13415" max="13415" width="29.125" bestFit="1" customWidth="1"/>
    <col min="13416" max="13417" width="25.375" bestFit="1" customWidth="1"/>
    <col min="13418" max="13418" width="29.875" customWidth="1"/>
    <col min="13419" max="13419" width="16.375" bestFit="1" customWidth="1"/>
    <col min="13420" max="13420" width="19.375" bestFit="1" customWidth="1"/>
    <col min="13421" max="13421" width="27.625" bestFit="1" customWidth="1"/>
    <col min="13422" max="13422" width="10.375" bestFit="1" customWidth="1"/>
    <col min="13423" max="13423" width="18.875" bestFit="1" customWidth="1"/>
    <col min="13424" max="13424" width="24.625" customWidth="1"/>
    <col min="13425" max="13425" width="17.625" bestFit="1" customWidth="1"/>
    <col min="13426" max="13426" width="24.875" bestFit="1" customWidth="1"/>
    <col min="13427" max="13427" width="21.875" bestFit="1" customWidth="1"/>
    <col min="13428" max="13428" width="12.125" bestFit="1" customWidth="1"/>
    <col min="13429" max="13429" width="17.375" bestFit="1" customWidth="1"/>
    <col min="13430" max="13430" width="13.375" bestFit="1" customWidth="1"/>
    <col min="13431" max="13431" width="17.375" bestFit="1" customWidth="1"/>
    <col min="13432" max="13439" width="8.625" bestFit="1" customWidth="1"/>
    <col min="13440" max="13440" width="10.125" bestFit="1" customWidth="1"/>
    <col min="13441" max="13444" width="8.625" bestFit="1" customWidth="1"/>
    <col min="13445" max="13445" width="5.625" bestFit="1" customWidth="1"/>
    <col min="13446" max="13446" width="17.375" bestFit="1" customWidth="1"/>
    <col min="13447" max="13447" width="21.875" bestFit="1" customWidth="1"/>
    <col min="13448" max="13448" width="57.375" bestFit="1" customWidth="1"/>
    <col min="13449" max="13449" width="25.375" bestFit="1" customWidth="1"/>
    <col min="13450" max="13450" width="15.625" customWidth="1"/>
    <col min="13451" max="13451" width="32.125" bestFit="1" customWidth="1"/>
    <col min="13452" max="13452" width="22.625" bestFit="1" customWidth="1"/>
    <col min="13453" max="13453" width="24.875" bestFit="1" customWidth="1"/>
    <col min="13454" max="13454" width="25.625" customWidth="1"/>
    <col min="13455" max="13455" width="31.375" bestFit="1" customWidth="1"/>
    <col min="13456" max="13456" width="24.625" customWidth="1"/>
    <col min="13457" max="13457" width="31.625" bestFit="1" customWidth="1"/>
    <col min="13458" max="13458" width="51.625" bestFit="1" customWidth="1"/>
    <col min="13459" max="13459" width="57.375" bestFit="1" customWidth="1"/>
    <col min="13460" max="13460" width="57.125" bestFit="1" customWidth="1"/>
    <col min="13461" max="13461" width="62.875" bestFit="1" customWidth="1"/>
    <col min="13462" max="13462" width="32.125" bestFit="1" customWidth="1"/>
    <col min="13568" max="13568" width="16.875" bestFit="1" customWidth="1"/>
    <col min="13569" max="13569" width="13.125" bestFit="1" customWidth="1"/>
    <col min="13570" max="13570" width="16.875" bestFit="1" customWidth="1"/>
    <col min="13571" max="13571" width="13.875" bestFit="1" customWidth="1"/>
    <col min="13572" max="13572" width="18.875" bestFit="1" customWidth="1"/>
    <col min="13573" max="13573" width="10.375" bestFit="1" customWidth="1"/>
    <col min="13574" max="13575" width="18.875" bestFit="1" customWidth="1"/>
    <col min="13576" max="13576" width="13.375" customWidth="1"/>
    <col min="13577" max="13578" width="18.875" bestFit="1" customWidth="1"/>
    <col min="13579" max="13579" width="15.125" bestFit="1" customWidth="1"/>
    <col min="13580" max="13580" width="15.375" bestFit="1" customWidth="1"/>
    <col min="13581" max="13581" width="16.625" customWidth="1"/>
    <col min="13582" max="13582" width="13.375" customWidth="1"/>
    <col min="13583" max="13583" width="16.875" bestFit="1" customWidth="1"/>
    <col min="13584" max="13584" width="14.875" bestFit="1" customWidth="1"/>
    <col min="13585" max="13585" width="20.625" bestFit="1" customWidth="1"/>
    <col min="13586" max="13586" width="18.375" bestFit="1" customWidth="1"/>
    <col min="13587" max="13587" width="13.375" bestFit="1" customWidth="1"/>
    <col min="13588" max="13588" width="36.375" customWidth="1"/>
    <col min="13589" max="13589" width="36.375" bestFit="1" customWidth="1"/>
    <col min="13590" max="13590" width="24.625" customWidth="1"/>
    <col min="13591" max="13591" width="36.375" bestFit="1" customWidth="1"/>
    <col min="13592" max="13592" width="21.625" bestFit="1" customWidth="1"/>
    <col min="13593" max="13593" width="21.875" bestFit="1" customWidth="1"/>
    <col min="13594" max="13594" width="21.625" bestFit="1" customWidth="1"/>
    <col min="13595" max="13595" width="13.875" bestFit="1" customWidth="1"/>
    <col min="13596" max="13596" width="10.375" bestFit="1" customWidth="1"/>
    <col min="13597" max="13597" width="18.875" bestFit="1" customWidth="1"/>
    <col min="13598" max="13598" width="10.375" bestFit="1" customWidth="1"/>
    <col min="13599" max="13599" width="98.875" bestFit="1" customWidth="1"/>
    <col min="13600" max="13600" width="17.625" bestFit="1" customWidth="1"/>
    <col min="13601" max="13601" width="26.625" bestFit="1" customWidth="1"/>
    <col min="13602" max="13602" width="23.375" bestFit="1" customWidth="1"/>
    <col min="13603" max="13603" width="15.375" bestFit="1" customWidth="1"/>
    <col min="13604" max="13604" width="202.625" customWidth="1"/>
    <col min="13605" max="13605" width="46.625" bestFit="1" customWidth="1"/>
    <col min="13606" max="13606" width="26.125" bestFit="1" customWidth="1"/>
    <col min="13607" max="13607" width="18.875" bestFit="1" customWidth="1"/>
    <col min="13608" max="13608" width="42.125" bestFit="1" customWidth="1"/>
    <col min="13609" max="13610" width="18.875" bestFit="1" customWidth="1"/>
    <col min="13611" max="13611" width="22.375" bestFit="1" customWidth="1"/>
    <col min="13612" max="13612" width="17.625" bestFit="1" customWidth="1"/>
    <col min="13613" max="13613" width="17.375" bestFit="1" customWidth="1"/>
    <col min="13614" max="13614" width="15.125" bestFit="1" customWidth="1"/>
    <col min="13615" max="13615" width="27.875" bestFit="1" customWidth="1"/>
    <col min="13616" max="13616" width="31.375" bestFit="1" customWidth="1"/>
    <col min="13617" max="13617" width="14.125" bestFit="1" customWidth="1"/>
    <col min="13618" max="13618" width="10.625" customWidth="1"/>
    <col min="13619" max="13620" width="20.625" customWidth="1"/>
    <col min="13621" max="13621" width="19.375" bestFit="1" customWidth="1"/>
    <col min="13622" max="13622" width="21.875" bestFit="1" customWidth="1"/>
    <col min="13623" max="13623" width="25.625" customWidth="1"/>
    <col min="13624" max="13624" width="25.875" bestFit="1" customWidth="1"/>
    <col min="13625" max="13625" width="19.625" customWidth="1"/>
    <col min="13626" max="13626" width="35.125" bestFit="1" customWidth="1"/>
    <col min="13627" max="13627" width="27.125" bestFit="1" customWidth="1"/>
    <col min="13628" max="13628" width="36.125" bestFit="1" customWidth="1"/>
    <col min="13629" max="13629" width="27.875" bestFit="1" customWidth="1"/>
    <col min="13630" max="13630" width="19.375" bestFit="1" customWidth="1"/>
    <col min="13631" max="13631" width="17.625" bestFit="1" customWidth="1"/>
    <col min="13632" max="13632" width="30.125" bestFit="1" customWidth="1"/>
    <col min="13633" max="13633" width="25.625" customWidth="1"/>
    <col min="13634" max="13634" width="23.125" bestFit="1" customWidth="1"/>
    <col min="13635" max="13635" width="25.625" customWidth="1"/>
    <col min="13636" max="13636" width="23.125" bestFit="1" customWidth="1"/>
    <col min="13637" max="13637" width="19.625" bestFit="1" customWidth="1"/>
    <col min="13638" max="13638" width="23.125" bestFit="1" customWidth="1"/>
    <col min="13639" max="13639" width="24.625" customWidth="1"/>
    <col min="13640" max="13640" width="23.125" bestFit="1" customWidth="1"/>
    <col min="13641" max="13641" width="19.625" bestFit="1" customWidth="1"/>
    <col min="13642" max="13642" width="17.625" bestFit="1" customWidth="1"/>
    <col min="13643" max="13644" width="21.875" bestFit="1" customWidth="1"/>
    <col min="13645" max="13645" width="25.625" customWidth="1"/>
    <col min="13646" max="13646" width="23.125" bestFit="1" customWidth="1"/>
    <col min="13647" max="13647" width="25.625" customWidth="1"/>
    <col min="13648" max="13648" width="23.125" bestFit="1" customWidth="1"/>
    <col min="13649" max="13649" width="19.625" bestFit="1" customWidth="1"/>
    <col min="13650" max="13650" width="23.125" bestFit="1" customWidth="1"/>
    <col min="13651" max="13651" width="24.625" customWidth="1"/>
    <col min="13652" max="13652" width="23.125" bestFit="1" customWidth="1"/>
    <col min="13653" max="13653" width="19.625" bestFit="1" customWidth="1"/>
    <col min="13654" max="13654" width="27.375" bestFit="1" customWidth="1"/>
    <col min="13655" max="13655" width="25.625" customWidth="1"/>
    <col min="13656" max="13656" width="27.375" bestFit="1" customWidth="1"/>
    <col min="13657" max="13657" width="23.875" bestFit="1" customWidth="1"/>
    <col min="13658" max="13658" width="27.375" bestFit="1" customWidth="1"/>
    <col min="13659" max="13659" width="24.625" customWidth="1"/>
    <col min="13660" max="13660" width="27.375" bestFit="1" customWidth="1"/>
    <col min="13661" max="13661" width="23.875" bestFit="1" customWidth="1"/>
    <col min="13662" max="13662" width="17.625" customWidth="1"/>
    <col min="13663" max="13663" width="18.125" customWidth="1"/>
    <col min="13664" max="13665" width="29.125" bestFit="1" customWidth="1"/>
    <col min="13666" max="13666" width="33.375" bestFit="1" customWidth="1"/>
    <col min="13667" max="13667" width="32.375" bestFit="1" customWidth="1"/>
    <col min="13668" max="13669" width="28.875" bestFit="1" customWidth="1"/>
    <col min="13670" max="13670" width="33.125" bestFit="1" customWidth="1"/>
    <col min="13671" max="13671" width="29.125" bestFit="1" customWidth="1"/>
    <col min="13672" max="13673" width="25.375" bestFit="1" customWidth="1"/>
    <col min="13674" max="13674" width="29.875" customWidth="1"/>
    <col min="13675" max="13675" width="16.375" bestFit="1" customWidth="1"/>
    <col min="13676" max="13676" width="19.375" bestFit="1" customWidth="1"/>
    <col min="13677" max="13677" width="27.625" bestFit="1" customWidth="1"/>
    <col min="13678" max="13678" width="10.375" bestFit="1" customWidth="1"/>
    <col min="13679" max="13679" width="18.875" bestFit="1" customWidth="1"/>
    <col min="13680" max="13680" width="24.625" customWidth="1"/>
    <col min="13681" max="13681" width="17.625" bestFit="1" customWidth="1"/>
    <col min="13682" max="13682" width="24.875" bestFit="1" customWidth="1"/>
    <col min="13683" max="13683" width="21.875" bestFit="1" customWidth="1"/>
    <col min="13684" max="13684" width="12.125" bestFit="1" customWidth="1"/>
    <col min="13685" max="13685" width="17.375" bestFit="1" customWidth="1"/>
    <col min="13686" max="13686" width="13.375" bestFit="1" customWidth="1"/>
    <col min="13687" max="13687" width="17.375" bestFit="1" customWidth="1"/>
    <col min="13688" max="13695" width="8.625" bestFit="1" customWidth="1"/>
    <col min="13696" max="13696" width="10.125" bestFit="1" customWidth="1"/>
    <col min="13697" max="13700" width="8.625" bestFit="1" customWidth="1"/>
    <col min="13701" max="13701" width="5.625" bestFit="1" customWidth="1"/>
    <col min="13702" max="13702" width="17.375" bestFit="1" customWidth="1"/>
    <col min="13703" max="13703" width="21.875" bestFit="1" customWidth="1"/>
    <col min="13704" max="13704" width="57.375" bestFit="1" customWidth="1"/>
    <col min="13705" max="13705" width="25.375" bestFit="1" customWidth="1"/>
    <col min="13706" max="13706" width="15.625" customWidth="1"/>
    <col min="13707" max="13707" width="32.125" bestFit="1" customWidth="1"/>
    <col min="13708" max="13708" width="22.625" bestFit="1" customWidth="1"/>
    <col min="13709" max="13709" width="24.875" bestFit="1" customWidth="1"/>
    <col min="13710" max="13710" width="25.625" customWidth="1"/>
    <col min="13711" max="13711" width="31.375" bestFit="1" customWidth="1"/>
    <col min="13712" max="13712" width="24.625" customWidth="1"/>
    <col min="13713" max="13713" width="31.625" bestFit="1" customWidth="1"/>
    <col min="13714" max="13714" width="51.625" bestFit="1" customWidth="1"/>
    <col min="13715" max="13715" width="57.375" bestFit="1" customWidth="1"/>
    <col min="13716" max="13716" width="57.125" bestFit="1" customWidth="1"/>
    <col min="13717" max="13717" width="62.875" bestFit="1" customWidth="1"/>
    <col min="13718" max="13718" width="32.125" bestFit="1" customWidth="1"/>
    <col min="13824" max="13824" width="16.875" bestFit="1" customWidth="1"/>
    <col min="13825" max="13825" width="13.125" bestFit="1" customWidth="1"/>
    <col min="13826" max="13826" width="16.875" bestFit="1" customWidth="1"/>
    <col min="13827" max="13827" width="13.875" bestFit="1" customWidth="1"/>
    <col min="13828" max="13828" width="18.875" bestFit="1" customWidth="1"/>
    <col min="13829" max="13829" width="10.375" bestFit="1" customWidth="1"/>
    <col min="13830" max="13831" width="18.875" bestFit="1" customWidth="1"/>
    <col min="13832" max="13832" width="13.375" customWidth="1"/>
    <col min="13833" max="13834" width="18.875" bestFit="1" customWidth="1"/>
    <col min="13835" max="13835" width="15.125" bestFit="1" customWidth="1"/>
    <col min="13836" max="13836" width="15.375" bestFit="1" customWidth="1"/>
    <col min="13837" max="13837" width="16.625" customWidth="1"/>
    <col min="13838" max="13838" width="13.375" customWidth="1"/>
    <col min="13839" max="13839" width="16.875" bestFit="1" customWidth="1"/>
    <col min="13840" max="13840" width="14.875" bestFit="1" customWidth="1"/>
    <col min="13841" max="13841" width="20.625" bestFit="1" customWidth="1"/>
    <col min="13842" max="13842" width="18.375" bestFit="1" customWidth="1"/>
    <col min="13843" max="13843" width="13.375" bestFit="1" customWidth="1"/>
    <col min="13844" max="13844" width="36.375" customWidth="1"/>
    <col min="13845" max="13845" width="36.375" bestFit="1" customWidth="1"/>
    <col min="13846" max="13846" width="24.625" customWidth="1"/>
    <col min="13847" max="13847" width="36.375" bestFit="1" customWidth="1"/>
    <col min="13848" max="13848" width="21.625" bestFit="1" customWidth="1"/>
    <col min="13849" max="13849" width="21.875" bestFit="1" customWidth="1"/>
    <col min="13850" max="13850" width="21.625" bestFit="1" customWidth="1"/>
    <col min="13851" max="13851" width="13.875" bestFit="1" customWidth="1"/>
    <col min="13852" max="13852" width="10.375" bestFit="1" customWidth="1"/>
    <col min="13853" max="13853" width="18.875" bestFit="1" customWidth="1"/>
    <col min="13854" max="13854" width="10.375" bestFit="1" customWidth="1"/>
    <col min="13855" max="13855" width="98.875" bestFit="1" customWidth="1"/>
    <col min="13856" max="13856" width="17.625" bestFit="1" customWidth="1"/>
    <col min="13857" max="13857" width="26.625" bestFit="1" customWidth="1"/>
    <col min="13858" max="13858" width="23.375" bestFit="1" customWidth="1"/>
    <col min="13859" max="13859" width="15.375" bestFit="1" customWidth="1"/>
    <col min="13860" max="13860" width="202.625" customWidth="1"/>
    <col min="13861" max="13861" width="46.625" bestFit="1" customWidth="1"/>
    <col min="13862" max="13862" width="26.125" bestFit="1" customWidth="1"/>
    <col min="13863" max="13863" width="18.875" bestFit="1" customWidth="1"/>
    <col min="13864" max="13864" width="42.125" bestFit="1" customWidth="1"/>
    <col min="13865" max="13866" width="18.875" bestFit="1" customWidth="1"/>
    <col min="13867" max="13867" width="22.375" bestFit="1" customWidth="1"/>
    <col min="13868" max="13868" width="17.625" bestFit="1" customWidth="1"/>
    <col min="13869" max="13869" width="17.375" bestFit="1" customWidth="1"/>
    <col min="13870" max="13870" width="15.125" bestFit="1" customWidth="1"/>
    <col min="13871" max="13871" width="27.875" bestFit="1" customWidth="1"/>
    <col min="13872" max="13872" width="31.375" bestFit="1" customWidth="1"/>
    <col min="13873" max="13873" width="14.125" bestFit="1" customWidth="1"/>
    <col min="13874" max="13874" width="10.625" customWidth="1"/>
    <col min="13875" max="13876" width="20.625" customWidth="1"/>
    <col min="13877" max="13877" width="19.375" bestFit="1" customWidth="1"/>
    <col min="13878" max="13878" width="21.875" bestFit="1" customWidth="1"/>
    <col min="13879" max="13879" width="25.625" customWidth="1"/>
    <col min="13880" max="13880" width="25.875" bestFit="1" customWidth="1"/>
    <col min="13881" max="13881" width="19.625" customWidth="1"/>
    <col min="13882" max="13882" width="35.125" bestFit="1" customWidth="1"/>
    <col min="13883" max="13883" width="27.125" bestFit="1" customWidth="1"/>
    <col min="13884" max="13884" width="36.125" bestFit="1" customWidth="1"/>
    <col min="13885" max="13885" width="27.875" bestFit="1" customWidth="1"/>
    <col min="13886" max="13886" width="19.375" bestFit="1" customWidth="1"/>
    <col min="13887" max="13887" width="17.625" bestFit="1" customWidth="1"/>
    <col min="13888" max="13888" width="30.125" bestFit="1" customWidth="1"/>
    <col min="13889" max="13889" width="25.625" customWidth="1"/>
    <col min="13890" max="13890" width="23.125" bestFit="1" customWidth="1"/>
    <col min="13891" max="13891" width="25.625" customWidth="1"/>
    <col min="13892" max="13892" width="23.125" bestFit="1" customWidth="1"/>
    <col min="13893" max="13893" width="19.625" bestFit="1" customWidth="1"/>
    <col min="13894" max="13894" width="23.125" bestFit="1" customWidth="1"/>
    <col min="13895" max="13895" width="24.625" customWidth="1"/>
    <col min="13896" max="13896" width="23.125" bestFit="1" customWidth="1"/>
    <col min="13897" max="13897" width="19.625" bestFit="1" customWidth="1"/>
    <col min="13898" max="13898" width="17.625" bestFit="1" customWidth="1"/>
    <col min="13899" max="13900" width="21.875" bestFit="1" customWidth="1"/>
    <col min="13901" max="13901" width="25.625" customWidth="1"/>
    <col min="13902" max="13902" width="23.125" bestFit="1" customWidth="1"/>
    <col min="13903" max="13903" width="25.625" customWidth="1"/>
    <col min="13904" max="13904" width="23.125" bestFit="1" customWidth="1"/>
    <col min="13905" max="13905" width="19.625" bestFit="1" customWidth="1"/>
    <col min="13906" max="13906" width="23.125" bestFit="1" customWidth="1"/>
    <col min="13907" max="13907" width="24.625" customWidth="1"/>
    <col min="13908" max="13908" width="23.125" bestFit="1" customWidth="1"/>
    <col min="13909" max="13909" width="19.625" bestFit="1" customWidth="1"/>
    <col min="13910" max="13910" width="27.375" bestFit="1" customWidth="1"/>
    <col min="13911" max="13911" width="25.625" customWidth="1"/>
    <col min="13912" max="13912" width="27.375" bestFit="1" customWidth="1"/>
    <col min="13913" max="13913" width="23.875" bestFit="1" customWidth="1"/>
    <col min="13914" max="13914" width="27.375" bestFit="1" customWidth="1"/>
    <col min="13915" max="13915" width="24.625" customWidth="1"/>
    <col min="13916" max="13916" width="27.375" bestFit="1" customWidth="1"/>
    <col min="13917" max="13917" width="23.875" bestFit="1" customWidth="1"/>
    <col min="13918" max="13918" width="17.625" customWidth="1"/>
    <col min="13919" max="13919" width="18.125" customWidth="1"/>
    <col min="13920" max="13921" width="29.125" bestFit="1" customWidth="1"/>
    <col min="13922" max="13922" width="33.375" bestFit="1" customWidth="1"/>
    <col min="13923" max="13923" width="32.375" bestFit="1" customWidth="1"/>
    <col min="13924" max="13925" width="28.875" bestFit="1" customWidth="1"/>
    <col min="13926" max="13926" width="33.125" bestFit="1" customWidth="1"/>
    <col min="13927" max="13927" width="29.125" bestFit="1" customWidth="1"/>
    <col min="13928" max="13929" width="25.375" bestFit="1" customWidth="1"/>
    <col min="13930" max="13930" width="29.875" customWidth="1"/>
    <col min="13931" max="13931" width="16.375" bestFit="1" customWidth="1"/>
    <col min="13932" max="13932" width="19.375" bestFit="1" customWidth="1"/>
    <col min="13933" max="13933" width="27.625" bestFit="1" customWidth="1"/>
    <col min="13934" max="13934" width="10.375" bestFit="1" customWidth="1"/>
    <col min="13935" max="13935" width="18.875" bestFit="1" customWidth="1"/>
    <col min="13936" max="13936" width="24.625" customWidth="1"/>
    <col min="13937" max="13937" width="17.625" bestFit="1" customWidth="1"/>
    <col min="13938" max="13938" width="24.875" bestFit="1" customWidth="1"/>
    <col min="13939" max="13939" width="21.875" bestFit="1" customWidth="1"/>
    <col min="13940" max="13940" width="12.125" bestFit="1" customWidth="1"/>
    <col min="13941" max="13941" width="17.375" bestFit="1" customWidth="1"/>
    <col min="13942" max="13942" width="13.375" bestFit="1" customWidth="1"/>
    <col min="13943" max="13943" width="17.375" bestFit="1" customWidth="1"/>
    <col min="13944" max="13951" width="8.625" bestFit="1" customWidth="1"/>
    <col min="13952" max="13952" width="10.125" bestFit="1" customWidth="1"/>
    <col min="13953" max="13956" width="8.625" bestFit="1" customWidth="1"/>
    <col min="13957" max="13957" width="5.625" bestFit="1" customWidth="1"/>
    <col min="13958" max="13958" width="17.375" bestFit="1" customWidth="1"/>
    <col min="13959" max="13959" width="21.875" bestFit="1" customWidth="1"/>
    <col min="13960" max="13960" width="57.375" bestFit="1" customWidth="1"/>
    <col min="13961" max="13961" width="25.375" bestFit="1" customWidth="1"/>
    <col min="13962" max="13962" width="15.625" customWidth="1"/>
    <col min="13963" max="13963" width="32.125" bestFit="1" customWidth="1"/>
    <col min="13964" max="13964" width="22.625" bestFit="1" customWidth="1"/>
    <col min="13965" max="13965" width="24.875" bestFit="1" customWidth="1"/>
    <col min="13966" max="13966" width="25.625" customWidth="1"/>
    <col min="13967" max="13967" width="31.375" bestFit="1" customWidth="1"/>
    <col min="13968" max="13968" width="24.625" customWidth="1"/>
    <col min="13969" max="13969" width="31.625" bestFit="1" customWidth="1"/>
    <col min="13970" max="13970" width="51.625" bestFit="1" customWidth="1"/>
    <col min="13971" max="13971" width="57.375" bestFit="1" customWidth="1"/>
    <col min="13972" max="13972" width="57.125" bestFit="1" customWidth="1"/>
    <col min="13973" max="13973" width="62.875" bestFit="1" customWidth="1"/>
    <col min="13974" max="13974" width="32.125" bestFit="1" customWidth="1"/>
    <col min="14080" max="14080" width="16.875" bestFit="1" customWidth="1"/>
    <col min="14081" max="14081" width="13.125" bestFit="1" customWidth="1"/>
    <col min="14082" max="14082" width="16.875" bestFit="1" customWidth="1"/>
    <col min="14083" max="14083" width="13.875" bestFit="1" customWidth="1"/>
    <col min="14084" max="14084" width="18.875" bestFit="1" customWidth="1"/>
    <col min="14085" max="14085" width="10.375" bestFit="1" customWidth="1"/>
    <col min="14086" max="14087" width="18.875" bestFit="1" customWidth="1"/>
    <col min="14088" max="14088" width="13.375" customWidth="1"/>
    <col min="14089" max="14090" width="18.875" bestFit="1" customWidth="1"/>
    <col min="14091" max="14091" width="15.125" bestFit="1" customWidth="1"/>
    <col min="14092" max="14092" width="15.375" bestFit="1" customWidth="1"/>
    <col min="14093" max="14093" width="16.625" customWidth="1"/>
    <col min="14094" max="14094" width="13.375" customWidth="1"/>
    <col min="14095" max="14095" width="16.875" bestFit="1" customWidth="1"/>
    <col min="14096" max="14096" width="14.875" bestFit="1" customWidth="1"/>
    <col min="14097" max="14097" width="20.625" bestFit="1" customWidth="1"/>
    <col min="14098" max="14098" width="18.375" bestFit="1" customWidth="1"/>
    <col min="14099" max="14099" width="13.375" bestFit="1" customWidth="1"/>
    <col min="14100" max="14100" width="36.375" customWidth="1"/>
    <col min="14101" max="14101" width="36.375" bestFit="1" customWidth="1"/>
    <col min="14102" max="14102" width="24.625" customWidth="1"/>
    <col min="14103" max="14103" width="36.375" bestFit="1" customWidth="1"/>
    <col min="14104" max="14104" width="21.625" bestFit="1" customWidth="1"/>
    <col min="14105" max="14105" width="21.875" bestFit="1" customWidth="1"/>
    <col min="14106" max="14106" width="21.625" bestFit="1" customWidth="1"/>
    <col min="14107" max="14107" width="13.875" bestFit="1" customWidth="1"/>
    <col min="14108" max="14108" width="10.375" bestFit="1" customWidth="1"/>
    <col min="14109" max="14109" width="18.875" bestFit="1" customWidth="1"/>
    <col min="14110" max="14110" width="10.375" bestFit="1" customWidth="1"/>
    <col min="14111" max="14111" width="98.875" bestFit="1" customWidth="1"/>
    <col min="14112" max="14112" width="17.625" bestFit="1" customWidth="1"/>
    <col min="14113" max="14113" width="26.625" bestFit="1" customWidth="1"/>
    <col min="14114" max="14114" width="23.375" bestFit="1" customWidth="1"/>
    <col min="14115" max="14115" width="15.375" bestFit="1" customWidth="1"/>
    <col min="14116" max="14116" width="202.625" customWidth="1"/>
    <col min="14117" max="14117" width="46.625" bestFit="1" customWidth="1"/>
    <col min="14118" max="14118" width="26.125" bestFit="1" customWidth="1"/>
    <col min="14119" max="14119" width="18.875" bestFit="1" customWidth="1"/>
    <col min="14120" max="14120" width="42.125" bestFit="1" customWidth="1"/>
    <col min="14121" max="14122" width="18.875" bestFit="1" customWidth="1"/>
    <col min="14123" max="14123" width="22.375" bestFit="1" customWidth="1"/>
    <col min="14124" max="14124" width="17.625" bestFit="1" customWidth="1"/>
    <col min="14125" max="14125" width="17.375" bestFit="1" customWidth="1"/>
    <col min="14126" max="14126" width="15.125" bestFit="1" customWidth="1"/>
    <col min="14127" max="14127" width="27.875" bestFit="1" customWidth="1"/>
    <col min="14128" max="14128" width="31.375" bestFit="1" customWidth="1"/>
    <col min="14129" max="14129" width="14.125" bestFit="1" customWidth="1"/>
    <col min="14130" max="14130" width="10.625" customWidth="1"/>
    <col min="14131" max="14132" width="20.625" customWidth="1"/>
    <col min="14133" max="14133" width="19.375" bestFit="1" customWidth="1"/>
    <col min="14134" max="14134" width="21.875" bestFit="1" customWidth="1"/>
    <col min="14135" max="14135" width="25.625" customWidth="1"/>
    <col min="14136" max="14136" width="25.875" bestFit="1" customWidth="1"/>
    <col min="14137" max="14137" width="19.625" customWidth="1"/>
    <col min="14138" max="14138" width="35.125" bestFit="1" customWidth="1"/>
    <col min="14139" max="14139" width="27.125" bestFit="1" customWidth="1"/>
    <col min="14140" max="14140" width="36.125" bestFit="1" customWidth="1"/>
    <col min="14141" max="14141" width="27.875" bestFit="1" customWidth="1"/>
    <col min="14142" max="14142" width="19.375" bestFit="1" customWidth="1"/>
    <col min="14143" max="14143" width="17.625" bestFit="1" customWidth="1"/>
    <col min="14144" max="14144" width="30.125" bestFit="1" customWidth="1"/>
    <col min="14145" max="14145" width="25.625" customWidth="1"/>
    <col min="14146" max="14146" width="23.125" bestFit="1" customWidth="1"/>
    <col min="14147" max="14147" width="25.625" customWidth="1"/>
    <col min="14148" max="14148" width="23.125" bestFit="1" customWidth="1"/>
    <col min="14149" max="14149" width="19.625" bestFit="1" customWidth="1"/>
    <col min="14150" max="14150" width="23.125" bestFit="1" customWidth="1"/>
    <col min="14151" max="14151" width="24.625" customWidth="1"/>
    <col min="14152" max="14152" width="23.125" bestFit="1" customWidth="1"/>
    <col min="14153" max="14153" width="19.625" bestFit="1" customWidth="1"/>
    <col min="14154" max="14154" width="17.625" bestFit="1" customWidth="1"/>
    <col min="14155" max="14156" width="21.875" bestFit="1" customWidth="1"/>
    <col min="14157" max="14157" width="25.625" customWidth="1"/>
    <col min="14158" max="14158" width="23.125" bestFit="1" customWidth="1"/>
    <col min="14159" max="14159" width="25.625" customWidth="1"/>
    <col min="14160" max="14160" width="23.125" bestFit="1" customWidth="1"/>
    <col min="14161" max="14161" width="19.625" bestFit="1" customWidth="1"/>
    <col min="14162" max="14162" width="23.125" bestFit="1" customWidth="1"/>
    <col min="14163" max="14163" width="24.625" customWidth="1"/>
    <col min="14164" max="14164" width="23.125" bestFit="1" customWidth="1"/>
    <col min="14165" max="14165" width="19.625" bestFit="1" customWidth="1"/>
    <col min="14166" max="14166" width="27.375" bestFit="1" customWidth="1"/>
    <col min="14167" max="14167" width="25.625" customWidth="1"/>
    <col min="14168" max="14168" width="27.375" bestFit="1" customWidth="1"/>
    <col min="14169" max="14169" width="23.875" bestFit="1" customWidth="1"/>
    <col min="14170" max="14170" width="27.375" bestFit="1" customWidth="1"/>
    <col min="14171" max="14171" width="24.625" customWidth="1"/>
    <col min="14172" max="14172" width="27.375" bestFit="1" customWidth="1"/>
    <col min="14173" max="14173" width="23.875" bestFit="1" customWidth="1"/>
    <col min="14174" max="14174" width="17.625" customWidth="1"/>
    <col min="14175" max="14175" width="18.125" customWidth="1"/>
    <col min="14176" max="14177" width="29.125" bestFit="1" customWidth="1"/>
    <col min="14178" max="14178" width="33.375" bestFit="1" customWidth="1"/>
    <col min="14179" max="14179" width="32.375" bestFit="1" customWidth="1"/>
    <col min="14180" max="14181" width="28.875" bestFit="1" customWidth="1"/>
    <col min="14182" max="14182" width="33.125" bestFit="1" customWidth="1"/>
    <col min="14183" max="14183" width="29.125" bestFit="1" customWidth="1"/>
    <col min="14184" max="14185" width="25.375" bestFit="1" customWidth="1"/>
    <col min="14186" max="14186" width="29.875" customWidth="1"/>
    <col min="14187" max="14187" width="16.375" bestFit="1" customWidth="1"/>
    <col min="14188" max="14188" width="19.375" bestFit="1" customWidth="1"/>
    <col min="14189" max="14189" width="27.625" bestFit="1" customWidth="1"/>
    <col min="14190" max="14190" width="10.375" bestFit="1" customWidth="1"/>
    <col min="14191" max="14191" width="18.875" bestFit="1" customWidth="1"/>
    <col min="14192" max="14192" width="24.625" customWidth="1"/>
    <col min="14193" max="14193" width="17.625" bestFit="1" customWidth="1"/>
    <col min="14194" max="14194" width="24.875" bestFit="1" customWidth="1"/>
    <col min="14195" max="14195" width="21.875" bestFit="1" customWidth="1"/>
    <col min="14196" max="14196" width="12.125" bestFit="1" customWidth="1"/>
    <col min="14197" max="14197" width="17.375" bestFit="1" customWidth="1"/>
    <col min="14198" max="14198" width="13.375" bestFit="1" customWidth="1"/>
    <col min="14199" max="14199" width="17.375" bestFit="1" customWidth="1"/>
    <col min="14200" max="14207" width="8.625" bestFit="1" customWidth="1"/>
    <col min="14208" max="14208" width="10.125" bestFit="1" customWidth="1"/>
    <col min="14209" max="14212" width="8.625" bestFit="1" customWidth="1"/>
    <col min="14213" max="14213" width="5.625" bestFit="1" customWidth="1"/>
    <col min="14214" max="14214" width="17.375" bestFit="1" customWidth="1"/>
    <col min="14215" max="14215" width="21.875" bestFit="1" customWidth="1"/>
    <col min="14216" max="14216" width="57.375" bestFit="1" customWidth="1"/>
    <col min="14217" max="14217" width="25.375" bestFit="1" customWidth="1"/>
    <col min="14218" max="14218" width="15.625" customWidth="1"/>
    <col min="14219" max="14219" width="32.125" bestFit="1" customWidth="1"/>
    <col min="14220" max="14220" width="22.625" bestFit="1" customWidth="1"/>
    <col min="14221" max="14221" width="24.875" bestFit="1" customWidth="1"/>
    <col min="14222" max="14222" width="25.625" customWidth="1"/>
    <col min="14223" max="14223" width="31.375" bestFit="1" customWidth="1"/>
    <col min="14224" max="14224" width="24.625" customWidth="1"/>
    <col min="14225" max="14225" width="31.625" bestFit="1" customWidth="1"/>
    <col min="14226" max="14226" width="51.625" bestFit="1" customWidth="1"/>
    <col min="14227" max="14227" width="57.375" bestFit="1" customWidth="1"/>
    <col min="14228" max="14228" width="57.125" bestFit="1" customWidth="1"/>
    <col min="14229" max="14229" width="62.875" bestFit="1" customWidth="1"/>
    <col min="14230" max="14230" width="32.125" bestFit="1" customWidth="1"/>
    <col min="14336" max="14336" width="16.875" bestFit="1" customWidth="1"/>
    <col min="14337" max="14337" width="13.125" bestFit="1" customWidth="1"/>
    <col min="14338" max="14338" width="16.875" bestFit="1" customWidth="1"/>
    <col min="14339" max="14339" width="13.875" bestFit="1" customWidth="1"/>
    <col min="14340" max="14340" width="18.875" bestFit="1" customWidth="1"/>
    <col min="14341" max="14341" width="10.375" bestFit="1" customWidth="1"/>
    <col min="14342" max="14343" width="18.875" bestFit="1" customWidth="1"/>
    <col min="14344" max="14344" width="13.375" customWidth="1"/>
    <col min="14345" max="14346" width="18.875" bestFit="1" customWidth="1"/>
    <col min="14347" max="14347" width="15.125" bestFit="1" customWidth="1"/>
    <col min="14348" max="14348" width="15.375" bestFit="1" customWidth="1"/>
    <col min="14349" max="14349" width="16.625" customWidth="1"/>
    <col min="14350" max="14350" width="13.375" customWidth="1"/>
    <col min="14351" max="14351" width="16.875" bestFit="1" customWidth="1"/>
    <col min="14352" max="14352" width="14.875" bestFit="1" customWidth="1"/>
    <col min="14353" max="14353" width="20.625" bestFit="1" customWidth="1"/>
    <col min="14354" max="14354" width="18.375" bestFit="1" customWidth="1"/>
    <col min="14355" max="14355" width="13.375" bestFit="1" customWidth="1"/>
    <col min="14356" max="14356" width="36.375" customWidth="1"/>
    <col min="14357" max="14357" width="36.375" bestFit="1" customWidth="1"/>
    <col min="14358" max="14358" width="24.625" customWidth="1"/>
    <col min="14359" max="14359" width="36.375" bestFit="1" customWidth="1"/>
    <col min="14360" max="14360" width="21.625" bestFit="1" customWidth="1"/>
    <col min="14361" max="14361" width="21.875" bestFit="1" customWidth="1"/>
    <col min="14362" max="14362" width="21.625" bestFit="1" customWidth="1"/>
    <col min="14363" max="14363" width="13.875" bestFit="1" customWidth="1"/>
    <col min="14364" max="14364" width="10.375" bestFit="1" customWidth="1"/>
    <col min="14365" max="14365" width="18.875" bestFit="1" customWidth="1"/>
    <col min="14366" max="14366" width="10.375" bestFit="1" customWidth="1"/>
    <col min="14367" max="14367" width="98.875" bestFit="1" customWidth="1"/>
    <col min="14368" max="14368" width="17.625" bestFit="1" customWidth="1"/>
    <col min="14369" max="14369" width="26.625" bestFit="1" customWidth="1"/>
    <col min="14370" max="14370" width="23.375" bestFit="1" customWidth="1"/>
    <col min="14371" max="14371" width="15.375" bestFit="1" customWidth="1"/>
    <col min="14372" max="14372" width="202.625" customWidth="1"/>
    <col min="14373" max="14373" width="46.625" bestFit="1" customWidth="1"/>
    <col min="14374" max="14374" width="26.125" bestFit="1" customWidth="1"/>
    <col min="14375" max="14375" width="18.875" bestFit="1" customWidth="1"/>
    <col min="14376" max="14376" width="42.125" bestFit="1" customWidth="1"/>
    <col min="14377" max="14378" width="18.875" bestFit="1" customWidth="1"/>
    <col min="14379" max="14379" width="22.375" bestFit="1" customWidth="1"/>
    <col min="14380" max="14380" width="17.625" bestFit="1" customWidth="1"/>
    <col min="14381" max="14381" width="17.375" bestFit="1" customWidth="1"/>
    <col min="14382" max="14382" width="15.125" bestFit="1" customWidth="1"/>
    <col min="14383" max="14383" width="27.875" bestFit="1" customWidth="1"/>
    <col min="14384" max="14384" width="31.375" bestFit="1" customWidth="1"/>
    <col min="14385" max="14385" width="14.125" bestFit="1" customWidth="1"/>
    <col min="14386" max="14386" width="10.625" customWidth="1"/>
    <col min="14387" max="14388" width="20.625" customWidth="1"/>
    <col min="14389" max="14389" width="19.375" bestFit="1" customWidth="1"/>
    <col min="14390" max="14390" width="21.875" bestFit="1" customWidth="1"/>
    <col min="14391" max="14391" width="25.625" customWidth="1"/>
    <col min="14392" max="14392" width="25.875" bestFit="1" customWidth="1"/>
    <col min="14393" max="14393" width="19.625" customWidth="1"/>
    <col min="14394" max="14394" width="35.125" bestFit="1" customWidth="1"/>
    <col min="14395" max="14395" width="27.125" bestFit="1" customWidth="1"/>
    <col min="14396" max="14396" width="36.125" bestFit="1" customWidth="1"/>
    <col min="14397" max="14397" width="27.875" bestFit="1" customWidth="1"/>
    <col min="14398" max="14398" width="19.375" bestFit="1" customWidth="1"/>
    <col min="14399" max="14399" width="17.625" bestFit="1" customWidth="1"/>
    <col min="14400" max="14400" width="30.125" bestFit="1" customWidth="1"/>
    <col min="14401" max="14401" width="25.625" customWidth="1"/>
    <col min="14402" max="14402" width="23.125" bestFit="1" customWidth="1"/>
    <col min="14403" max="14403" width="25.625" customWidth="1"/>
    <col min="14404" max="14404" width="23.125" bestFit="1" customWidth="1"/>
    <col min="14405" max="14405" width="19.625" bestFit="1" customWidth="1"/>
    <col min="14406" max="14406" width="23.125" bestFit="1" customWidth="1"/>
    <col min="14407" max="14407" width="24.625" customWidth="1"/>
    <col min="14408" max="14408" width="23.125" bestFit="1" customWidth="1"/>
    <col min="14409" max="14409" width="19.625" bestFit="1" customWidth="1"/>
    <col min="14410" max="14410" width="17.625" bestFit="1" customWidth="1"/>
    <col min="14411" max="14412" width="21.875" bestFit="1" customWidth="1"/>
    <col min="14413" max="14413" width="25.625" customWidth="1"/>
    <col min="14414" max="14414" width="23.125" bestFit="1" customWidth="1"/>
    <col min="14415" max="14415" width="25.625" customWidth="1"/>
    <col min="14416" max="14416" width="23.125" bestFit="1" customWidth="1"/>
    <col min="14417" max="14417" width="19.625" bestFit="1" customWidth="1"/>
    <col min="14418" max="14418" width="23.125" bestFit="1" customWidth="1"/>
    <col min="14419" max="14419" width="24.625" customWidth="1"/>
    <col min="14420" max="14420" width="23.125" bestFit="1" customWidth="1"/>
    <col min="14421" max="14421" width="19.625" bestFit="1" customWidth="1"/>
    <col min="14422" max="14422" width="27.375" bestFit="1" customWidth="1"/>
    <col min="14423" max="14423" width="25.625" customWidth="1"/>
    <col min="14424" max="14424" width="27.375" bestFit="1" customWidth="1"/>
    <col min="14425" max="14425" width="23.875" bestFit="1" customWidth="1"/>
    <col min="14426" max="14426" width="27.375" bestFit="1" customWidth="1"/>
    <col min="14427" max="14427" width="24.625" customWidth="1"/>
    <col min="14428" max="14428" width="27.375" bestFit="1" customWidth="1"/>
    <col min="14429" max="14429" width="23.875" bestFit="1" customWidth="1"/>
    <col min="14430" max="14430" width="17.625" customWidth="1"/>
    <col min="14431" max="14431" width="18.125" customWidth="1"/>
    <col min="14432" max="14433" width="29.125" bestFit="1" customWidth="1"/>
    <col min="14434" max="14434" width="33.375" bestFit="1" customWidth="1"/>
    <col min="14435" max="14435" width="32.375" bestFit="1" customWidth="1"/>
    <col min="14436" max="14437" width="28.875" bestFit="1" customWidth="1"/>
    <col min="14438" max="14438" width="33.125" bestFit="1" customWidth="1"/>
    <col min="14439" max="14439" width="29.125" bestFit="1" customWidth="1"/>
    <col min="14440" max="14441" width="25.375" bestFit="1" customWidth="1"/>
    <col min="14442" max="14442" width="29.875" customWidth="1"/>
    <col min="14443" max="14443" width="16.375" bestFit="1" customWidth="1"/>
    <col min="14444" max="14444" width="19.375" bestFit="1" customWidth="1"/>
    <col min="14445" max="14445" width="27.625" bestFit="1" customWidth="1"/>
    <col min="14446" max="14446" width="10.375" bestFit="1" customWidth="1"/>
    <col min="14447" max="14447" width="18.875" bestFit="1" customWidth="1"/>
    <col min="14448" max="14448" width="24.625" customWidth="1"/>
    <col min="14449" max="14449" width="17.625" bestFit="1" customWidth="1"/>
    <col min="14450" max="14450" width="24.875" bestFit="1" customWidth="1"/>
    <col min="14451" max="14451" width="21.875" bestFit="1" customWidth="1"/>
    <col min="14452" max="14452" width="12.125" bestFit="1" customWidth="1"/>
    <col min="14453" max="14453" width="17.375" bestFit="1" customWidth="1"/>
    <col min="14454" max="14454" width="13.375" bestFit="1" customWidth="1"/>
    <col min="14455" max="14455" width="17.375" bestFit="1" customWidth="1"/>
    <col min="14456" max="14463" width="8.625" bestFit="1" customWidth="1"/>
    <col min="14464" max="14464" width="10.125" bestFit="1" customWidth="1"/>
    <col min="14465" max="14468" width="8.625" bestFit="1" customWidth="1"/>
    <col min="14469" max="14469" width="5.625" bestFit="1" customWidth="1"/>
    <col min="14470" max="14470" width="17.375" bestFit="1" customWidth="1"/>
    <col min="14471" max="14471" width="21.875" bestFit="1" customWidth="1"/>
    <col min="14472" max="14472" width="57.375" bestFit="1" customWidth="1"/>
    <col min="14473" max="14473" width="25.375" bestFit="1" customWidth="1"/>
    <col min="14474" max="14474" width="15.625" customWidth="1"/>
    <col min="14475" max="14475" width="32.125" bestFit="1" customWidth="1"/>
    <col min="14476" max="14476" width="22.625" bestFit="1" customWidth="1"/>
    <col min="14477" max="14477" width="24.875" bestFit="1" customWidth="1"/>
    <col min="14478" max="14478" width="25.625" customWidth="1"/>
    <col min="14479" max="14479" width="31.375" bestFit="1" customWidth="1"/>
    <col min="14480" max="14480" width="24.625" customWidth="1"/>
    <col min="14481" max="14481" width="31.625" bestFit="1" customWidth="1"/>
    <col min="14482" max="14482" width="51.625" bestFit="1" customWidth="1"/>
    <col min="14483" max="14483" width="57.375" bestFit="1" customWidth="1"/>
    <col min="14484" max="14484" width="57.125" bestFit="1" customWidth="1"/>
    <col min="14485" max="14485" width="62.875" bestFit="1" customWidth="1"/>
    <col min="14486" max="14486" width="32.125" bestFit="1" customWidth="1"/>
    <col min="14592" max="14592" width="16.875" bestFit="1" customWidth="1"/>
    <col min="14593" max="14593" width="13.125" bestFit="1" customWidth="1"/>
    <col min="14594" max="14594" width="16.875" bestFit="1" customWidth="1"/>
    <col min="14595" max="14595" width="13.875" bestFit="1" customWidth="1"/>
    <col min="14596" max="14596" width="18.875" bestFit="1" customWidth="1"/>
    <col min="14597" max="14597" width="10.375" bestFit="1" customWidth="1"/>
    <col min="14598" max="14599" width="18.875" bestFit="1" customWidth="1"/>
    <col min="14600" max="14600" width="13.375" customWidth="1"/>
    <col min="14601" max="14602" width="18.875" bestFit="1" customWidth="1"/>
    <col min="14603" max="14603" width="15.125" bestFit="1" customWidth="1"/>
    <col min="14604" max="14604" width="15.375" bestFit="1" customWidth="1"/>
    <col min="14605" max="14605" width="16.625" customWidth="1"/>
    <col min="14606" max="14606" width="13.375" customWidth="1"/>
    <col min="14607" max="14607" width="16.875" bestFit="1" customWidth="1"/>
    <col min="14608" max="14608" width="14.875" bestFit="1" customWidth="1"/>
    <col min="14609" max="14609" width="20.625" bestFit="1" customWidth="1"/>
    <col min="14610" max="14610" width="18.375" bestFit="1" customWidth="1"/>
    <col min="14611" max="14611" width="13.375" bestFit="1" customWidth="1"/>
    <col min="14612" max="14612" width="36.375" customWidth="1"/>
    <col min="14613" max="14613" width="36.375" bestFit="1" customWidth="1"/>
    <col min="14614" max="14614" width="24.625" customWidth="1"/>
    <col min="14615" max="14615" width="36.375" bestFit="1" customWidth="1"/>
    <col min="14616" max="14616" width="21.625" bestFit="1" customWidth="1"/>
    <col min="14617" max="14617" width="21.875" bestFit="1" customWidth="1"/>
    <col min="14618" max="14618" width="21.625" bestFit="1" customWidth="1"/>
    <col min="14619" max="14619" width="13.875" bestFit="1" customWidth="1"/>
    <col min="14620" max="14620" width="10.375" bestFit="1" customWidth="1"/>
    <col min="14621" max="14621" width="18.875" bestFit="1" customWidth="1"/>
    <col min="14622" max="14622" width="10.375" bestFit="1" customWidth="1"/>
    <col min="14623" max="14623" width="98.875" bestFit="1" customWidth="1"/>
    <col min="14624" max="14624" width="17.625" bestFit="1" customWidth="1"/>
    <col min="14625" max="14625" width="26.625" bestFit="1" customWidth="1"/>
    <col min="14626" max="14626" width="23.375" bestFit="1" customWidth="1"/>
    <col min="14627" max="14627" width="15.375" bestFit="1" customWidth="1"/>
    <col min="14628" max="14628" width="202.625" customWidth="1"/>
    <col min="14629" max="14629" width="46.625" bestFit="1" customWidth="1"/>
    <col min="14630" max="14630" width="26.125" bestFit="1" customWidth="1"/>
    <col min="14631" max="14631" width="18.875" bestFit="1" customWidth="1"/>
    <col min="14632" max="14632" width="42.125" bestFit="1" customWidth="1"/>
    <col min="14633" max="14634" width="18.875" bestFit="1" customWidth="1"/>
    <col min="14635" max="14635" width="22.375" bestFit="1" customWidth="1"/>
    <col min="14636" max="14636" width="17.625" bestFit="1" customWidth="1"/>
    <col min="14637" max="14637" width="17.375" bestFit="1" customWidth="1"/>
    <col min="14638" max="14638" width="15.125" bestFit="1" customWidth="1"/>
    <col min="14639" max="14639" width="27.875" bestFit="1" customWidth="1"/>
    <col min="14640" max="14640" width="31.375" bestFit="1" customWidth="1"/>
    <col min="14641" max="14641" width="14.125" bestFit="1" customWidth="1"/>
    <col min="14642" max="14642" width="10.625" customWidth="1"/>
    <col min="14643" max="14644" width="20.625" customWidth="1"/>
    <col min="14645" max="14645" width="19.375" bestFit="1" customWidth="1"/>
    <col min="14646" max="14646" width="21.875" bestFit="1" customWidth="1"/>
    <col min="14647" max="14647" width="25.625" customWidth="1"/>
    <col min="14648" max="14648" width="25.875" bestFit="1" customWidth="1"/>
    <col min="14649" max="14649" width="19.625" customWidth="1"/>
    <col min="14650" max="14650" width="35.125" bestFit="1" customWidth="1"/>
    <col min="14651" max="14651" width="27.125" bestFit="1" customWidth="1"/>
    <col min="14652" max="14652" width="36.125" bestFit="1" customWidth="1"/>
    <col min="14653" max="14653" width="27.875" bestFit="1" customWidth="1"/>
    <col min="14654" max="14654" width="19.375" bestFit="1" customWidth="1"/>
    <col min="14655" max="14655" width="17.625" bestFit="1" customWidth="1"/>
    <col min="14656" max="14656" width="30.125" bestFit="1" customWidth="1"/>
    <col min="14657" max="14657" width="25.625" customWidth="1"/>
    <col min="14658" max="14658" width="23.125" bestFit="1" customWidth="1"/>
    <col min="14659" max="14659" width="25.625" customWidth="1"/>
    <col min="14660" max="14660" width="23.125" bestFit="1" customWidth="1"/>
    <col min="14661" max="14661" width="19.625" bestFit="1" customWidth="1"/>
    <col min="14662" max="14662" width="23.125" bestFit="1" customWidth="1"/>
    <col min="14663" max="14663" width="24.625" customWidth="1"/>
    <col min="14664" max="14664" width="23.125" bestFit="1" customWidth="1"/>
    <col min="14665" max="14665" width="19.625" bestFit="1" customWidth="1"/>
    <col min="14666" max="14666" width="17.625" bestFit="1" customWidth="1"/>
    <col min="14667" max="14668" width="21.875" bestFit="1" customWidth="1"/>
    <col min="14669" max="14669" width="25.625" customWidth="1"/>
    <col min="14670" max="14670" width="23.125" bestFit="1" customWidth="1"/>
    <col min="14671" max="14671" width="25.625" customWidth="1"/>
    <col min="14672" max="14672" width="23.125" bestFit="1" customWidth="1"/>
    <col min="14673" max="14673" width="19.625" bestFit="1" customWidth="1"/>
    <col min="14674" max="14674" width="23.125" bestFit="1" customWidth="1"/>
    <col min="14675" max="14675" width="24.625" customWidth="1"/>
    <col min="14676" max="14676" width="23.125" bestFit="1" customWidth="1"/>
    <col min="14677" max="14677" width="19.625" bestFit="1" customWidth="1"/>
    <col min="14678" max="14678" width="27.375" bestFit="1" customWidth="1"/>
    <col min="14679" max="14679" width="25.625" customWidth="1"/>
    <col min="14680" max="14680" width="27.375" bestFit="1" customWidth="1"/>
    <col min="14681" max="14681" width="23.875" bestFit="1" customWidth="1"/>
    <col min="14682" max="14682" width="27.375" bestFit="1" customWidth="1"/>
    <col min="14683" max="14683" width="24.625" customWidth="1"/>
    <col min="14684" max="14684" width="27.375" bestFit="1" customWidth="1"/>
    <col min="14685" max="14685" width="23.875" bestFit="1" customWidth="1"/>
    <col min="14686" max="14686" width="17.625" customWidth="1"/>
    <col min="14687" max="14687" width="18.125" customWidth="1"/>
    <col min="14688" max="14689" width="29.125" bestFit="1" customWidth="1"/>
    <col min="14690" max="14690" width="33.375" bestFit="1" customWidth="1"/>
    <col min="14691" max="14691" width="32.375" bestFit="1" customWidth="1"/>
    <col min="14692" max="14693" width="28.875" bestFit="1" customWidth="1"/>
    <col min="14694" max="14694" width="33.125" bestFit="1" customWidth="1"/>
    <col min="14695" max="14695" width="29.125" bestFit="1" customWidth="1"/>
    <col min="14696" max="14697" width="25.375" bestFit="1" customWidth="1"/>
    <col min="14698" max="14698" width="29.875" customWidth="1"/>
    <col min="14699" max="14699" width="16.375" bestFit="1" customWidth="1"/>
    <col min="14700" max="14700" width="19.375" bestFit="1" customWidth="1"/>
    <col min="14701" max="14701" width="27.625" bestFit="1" customWidth="1"/>
    <col min="14702" max="14702" width="10.375" bestFit="1" customWidth="1"/>
    <col min="14703" max="14703" width="18.875" bestFit="1" customWidth="1"/>
    <col min="14704" max="14704" width="24.625" customWidth="1"/>
    <col min="14705" max="14705" width="17.625" bestFit="1" customWidth="1"/>
    <col min="14706" max="14706" width="24.875" bestFit="1" customWidth="1"/>
    <col min="14707" max="14707" width="21.875" bestFit="1" customWidth="1"/>
    <col min="14708" max="14708" width="12.125" bestFit="1" customWidth="1"/>
    <col min="14709" max="14709" width="17.375" bestFit="1" customWidth="1"/>
    <col min="14710" max="14710" width="13.375" bestFit="1" customWidth="1"/>
    <col min="14711" max="14711" width="17.375" bestFit="1" customWidth="1"/>
    <col min="14712" max="14719" width="8.625" bestFit="1" customWidth="1"/>
    <col min="14720" max="14720" width="10.125" bestFit="1" customWidth="1"/>
    <col min="14721" max="14724" width="8.625" bestFit="1" customWidth="1"/>
    <col min="14725" max="14725" width="5.625" bestFit="1" customWidth="1"/>
    <col min="14726" max="14726" width="17.375" bestFit="1" customWidth="1"/>
    <col min="14727" max="14727" width="21.875" bestFit="1" customWidth="1"/>
    <col min="14728" max="14728" width="57.375" bestFit="1" customWidth="1"/>
    <col min="14729" max="14729" width="25.375" bestFit="1" customWidth="1"/>
    <col min="14730" max="14730" width="15.625" customWidth="1"/>
    <col min="14731" max="14731" width="32.125" bestFit="1" customWidth="1"/>
    <col min="14732" max="14732" width="22.625" bestFit="1" customWidth="1"/>
    <col min="14733" max="14733" width="24.875" bestFit="1" customWidth="1"/>
    <col min="14734" max="14734" width="25.625" customWidth="1"/>
    <col min="14735" max="14735" width="31.375" bestFit="1" customWidth="1"/>
    <col min="14736" max="14736" width="24.625" customWidth="1"/>
    <col min="14737" max="14737" width="31.625" bestFit="1" customWidth="1"/>
    <col min="14738" max="14738" width="51.625" bestFit="1" customWidth="1"/>
    <col min="14739" max="14739" width="57.375" bestFit="1" customWidth="1"/>
    <col min="14740" max="14740" width="57.125" bestFit="1" customWidth="1"/>
    <col min="14741" max="14741" width="62.875" bestFit="1" customWidth="1"/>
    <col min="14742" max="14742" width="32.125" bestFit="1" customWidth="1"/>
    <col min="14848" max="14848" width="16.875" bestFit="1" customWidth="1"/>
    <col min="14849" max="14849" width="13.125" bestFit="1" customWidth="1"/>
    <col min="14850" max="14850" width="16.875" bestFit="1" customWidth="1"/>
    <col min="14851" max="14851" width="13.875" bestFit="1" customWidth="1"/>
    <col min="14852" max="14852" width="18.875" bestFit="1" customWidth="1"/>
    <col min="14853" max="14853" width="10.375" bestFit="1" customWidth="1"/>
    <col min="14854" max="14855" width="18.875" bestFit="1" customWidth="1"/>
    <col min="14856" max="14856" width="13.375" customWidth="1"/>
    <col min="14857" max="14858" width="18.875" bestFit="1" customWidth="1"/>
    <col min="14859" max="14859" width="15.125" bestFit="1" customWidth="1"/>
    <col min="14860" max="14860" width="15.375" bestFit="1" customWidth="1"/>
    <col min="14861" max="14861" width="16.625" customWidth="1"/>
    <col min="14862" max="14862" width="13.375" customWidth="1"/>
    <col min="14863" max="14863" width="16.875" bestFit="1" customWidth="1"/>
    <col min="14864" max="14864" width="14.875" bestFit="1" customWidth="1"/>
    <col min="14865" max="14865" width="20.625" bestFit="1" customWidth="1"/>
    <col min="14866" max="14866" width="18.375" bestFit="1" customWidth="1"/>
    <col min="14867" max="14867" width="13.375" bestFit="1" customWidth="1"/>
    <col min="14868" max="14868" width="36.375" customWidth="1"/>
    <col min="14869" max="14869" width="36.375" bestFit="1" customWidth="1"/>
    <col min="14870" max="14870" width="24.625" customWidth="1"/>
    <col min="14871" max="14871" width="36.375" bestFit="1" customWidth="1"/>
    <col min="14872" max="14872" width="21.625" bestFit="1" customWidth="1"/>
    <col min="14873" max="14873" width="21.875" bestFit="1" customWidth="1"/>
    <col min="14874" max="14874" width="21.625" bestFit="1" customWidth="1"/>
    <col min="14875" max="14875" width="13.875" bestFit="1" customWidth="1"/>
    <col min="14876" max="14876" width="10.375" bestFit="1" customWidth="1"/>
    <col min="14877" max="14877" width="18.875" bestFit="1" customWidth="1"/>
    <col min="14878" max="14878" width="10.375" bestFit="1" customWidth="1"/>
    <col min="14879" max="14879" width="98.875" bestFit="1" customWidth="1"/>
    <col min="14880" max="14880" width="17.625" bestFit="1" customWidth="1"/>
    <col min="14881" max="14881" width="26.625" bestFit="1" customWidth="1"/>
    <col min="14882" max="14882" width="23.375" bestFit="1" customWidth="1"/>
    <col min="14883" max="14883" width="15.375" bestFit="1" customWidth="1"/>
    <col min="14884" max="14884" width="202.625" customWidth="1"/>
    <col min="14885" max="14885" width="46.625" bestFit="1" customWidth="1"/>
    <col min="14886" max="14886" width="26.125" bestFit="1" customWidth="1"/>
    <col min="14887" max="14887" width="18.875" bestFit="1" customWidth="1"/>
    <col min="14888" max="14888" width="42.125" bestFit="1" customWidth="1"/>
    <col min="14889" max="14890" width="18.875" bestFit="1" customWidth="1"/>
    <col min="14891" max="14891" width="22.375" bestFit="1" customWidth="1"/>
    <col min="14892" max="14892" width="17.625" bestFit="1" customWidth="1"/>
    <col min="14893" max="14893" width="17.375" bestFit="1" customWidth="1"/>
    <col min="14894" max="14894" width="15.125" bestFit="1" customWidth="1"/>
    <col min="14895" max="14895" width="27.875" bestFit="1" customWidth="1"/>
    <col min="14896" max="14896" width="31.375" bestFit="1" customWidth="1"/>
    <col min="14897" max="14897" width="14.125" bestFit="1" customWidth="1"/>
    <col min="14898" max="14898" width="10.625" customWidth="1"/>
    <col min="14899" max="14900" width="20.625" customWidth="1"/>
    <col min="14901" max="14901" width="19.375" bestFit="1" customWidth="1"/>
    <col min="14902" max="14902" width="21.875" bestFit="1" customWidth="1"/>
    <col min="14903" max="14903" width="25.625" customWidth="1"/>
    <col min="14904" max="14904" width="25.875" bestFit="1" customWidth="1"/>
    <col min="14905" max="14905" width="19.625" customWidth="1"/>
    <col min="14906" max="14906" width="35.125" bestFit="1" customWidth="1"/>
    <col min="14907" max="14907" width="27.125" bestFit="1" customWidth="1"/>
    <col min="14908" max="14908" width="36.125" bestFit="1" customWidth="1"/>
    <col min="14909" max="14909" width="27.875" bestFit="1" customWidth="1"/>
    <col min="14910" max="14910" width="19.375" bestFit="1" customWidth="1"/>
    <col min="14911" max="14911" width="17.625" bestFit="1" customWidth="1"/>
    <col min="14912" max="14912" width="30.125" bestFit="1" customWidth="1"/>
    <col min="14913" max="14913" width="25.625" customWidth="1"/>
    <col min="14914" max="14914" width="23.125" bestFit="1" customWidth="1"/>
    <col min="14915" max="14915" width="25.625" customWidth="1"/>
    <col min="14916" max="14916" width="23.125" bestFit="1" customWidth="1"/>
    <col min="14917" max="14917" width="19.625" bestFit="1" customWidth="1"/>
    <col min="14918" max="14918" width="23.125" bestFit="1" customWidth="1"/>
    <col min="14919" max="14919" width="24.625" customWidth="1"/>
    <col min="14920" max="14920" width="23.125" bestFit="1" customWidth="1"/>
    <col min="14921" max="14921" width="19.625" bestFit="1" customWidth="1"/>
    <col min="14922" max="14922" width="17.625" bestFit="1" customWidth="1"/>
    <col min="14923" max="14924" width="21.875" bestFit="1" customWidth="1"/>
    <col min="14925" max="14925" width="25.625" customWidth="1"/>
    <col min="14926" max="14926" width="23.125" bestFit="1" customWidth="1"/>
    <col min="14927" max="14927" width="25.625" customWidth="1"/>
    <col min="14928" max="14928" width="23.125" bestFit="1" customWidth="1"/>
    <col min="14929" max="14929" width="19.625" bestFit="1" customWidth="1"/>
    <col min="14930" max="14930" width="23.125" bestFit="1" customWidth="1"/>
    <col min="14931" max="14931" width="24.625" customWidth="1"/>
    <col min="14932" max="14932" width="23.125" bestFit="1" customWidth="1"/>
    <col min="14933" max="14933" width="19.625" bestFit="1" customWidth="1"/>
    <col min="14934" max="14934" width="27.375" bestFit="1" customWidth="1"/>
    <col min="14935" max="14935" width="25.625" customWidth="1"/>
    <col min="14936" max="14936" width="27.375" bestFit="1" customWidth="1"/>
    <col min="14937" max="14937" width="23.875" bestFit="1" customWidth="1"/>
    <col min="14938" max="14938" width="27.375" bestFit="1" customWidth="1"/>
    <col min="14939" max="14939" width="24.625" customWidth="1"/>
    <col min="14940" max="14940" width="27.375" bestFit="1" customWidth="1"/>
    <col min="14941" max="14941" width="23.875" bestFit="1" customWidth="1"/>
    <col min="14942" max="14942" width="17.625" customWidth="1"/>
    <col min="14943" max="14943" width="18.125" customWidth="1"/>
    <col min="14944" max="14945" width="29.125" bestFit="1" customWidth="1"/>
    <col min="14946" max="14946" width="33.375" bestFit="1" customWidth="1"/>
    <col min="14947" max="14947" width="32.375" bestFit="1" customWidth="1"/>
    <col min="14948" max="14949" width="28.875" bestFit="1" customWidth="1"/>
    <col min="14950" max="14950" width="33.125" bestFit="1" customWidth="1"/>
    <col min="14951" max="14951" width="29.125" bestFit="1" customWidth="1"/>
    <col min="14952" max="14953" width="25.375" bestFit="1" customWidth="1"/>
    <col min="14954" max="14954" width="29.875" customWidth="1"/>
    <col min="14955" max="14955" width="16.375" bestFit="1" customWidth="1"/>
    <col min="14956" max="14956" width="19.375" bestFit="1" customWidth="1"/>
    <col min="14957" max="14957" width="27.625" bestFit="1" customWidth="1"/>
    <col min="14958" max="14958" width="10.375" bestFit="1" customWidth="1"/>
    <col min="14959" max="14959" width="18.875" bestFit="1" customWidth="1"/>
    <col min="14960" max="14960" width="24.625" customWidth="1"/>
    <col min="14961" max="14961" width="17.625" bestFit="1" customWidth="1"/>
    <col min="14962" max="14962" width="24.875" bestFit="1" customWidth="1"/>
    <col min="14963" max="14963" width="21.875" bestFit="1" customWidth="1"/>
    <col min="14964" max="14964" width="12.125" bestFit="1" customWidth="1"/>
    <col min="14965" max="14965" width="17.375" bestFit="1" customWidth="1"/>
    <col min="14966" max="14966" width="13.375" bestFit="1" customWidth="1"/>
    <col min="14967" max="14967" width="17.375" bestFit="1" customWidth="1"/>
    <col min="14968" max="14975" width="8.625" bestFit="1" customWidth="1"/>
    <col min="14976" max="14976" width="10.125" bestFit="1" customWidth="1"/>
    <col min="14977" max="14980" width="8.625" bestFit="1" customWidth="1"/>
    <col min="14981" max="14981" width="5.625" bestFit="1" customWidth="1"/>
    <col min="14982" max="14982" width="17.375" bestFit="1" customWidth="1"/>
    <col min="14983" max="14983" width="21.875" bestFit="1" customWidth="1"/>
    <col min="14984" max="14984" width="57.375" bestFit="1" customWidth="1"/>
    <col min="14985" max="14985" width="25.375" bestFit="1" customWidth="1"/>
    <col min="14986" max="14986" width="15.625" customWidth="1"/>
    <col min="14987" max="14987" width="32.125" bestFit="1" customWidth="1"/>
    <col min="14988" max="14988" width="22.625" bestFit="1" customWidth="1"/>
    <col min="14989" max="14989" width="24.875" bestFit="1" customWidth="1"/>
    <col min="14990" max="14990" width="25.625" customWidth="1"/>
    <col min="14991" max="14991" width="31.375" bestFit="1" customWidth="1"/>
    <col min="14992" max="14992" width="24.625" customWidth="1"/>
    <col min="14993" max="14993" width="31.625" bestFit="1" customWidth="1"/>
    <col min="14994" max="14994" width="51.625" bestFit="1" customWidth="1"/>
    <col min="14995" max="14995" width="57.375" bestFit="1" customWidth="1"/>
    <col min="14996" max="14996" width="57.125" bestFit="1" customWidth="1"/>
    <col min="14997" max="14997" width="62.875" bestFit="1" customWidth="1"/>
    <col min="14998" max="14998" width="32.125" bestFit="1" customWidth="1"/>
    <col min="15104" max="15104" width="16.875" bestFit="1" customWidth="1"/>
    <col min="15105" max="15105" width="13.125" bestFit="1" customWidth="1"/>
    <col min="15106" max="15106" width="16.875" bestFit="1" customWidth="1"/>
    <col min="15107" max="15107" width="13.875" bestFit="1" customWidth="1"/>
    <col min="15108" max="15108" width="18.875" bestFit="1" customWidth="1"/>
    <col min="15109" max="15109" width="10.375" bestFit="1" customWidth="1"/>
    <col min="15110" max="15111" width="18.875" bestFit="1" customWidth="1"/>
    <col min="15112" max="15112" width="13.375" customWidth="1"/>
    <col min="15113" max="15114" width="18.875" bestFit="1" customWidth="1"/>
    <col min="15115" max="15115" width="15.125" bestFit="1" customWidth="1"/>
    <col min="15116" max="15116" width="15.375" bestFit="1" customWidth="1"/>
    <col min="15117" max="15117" width="16.625" customWidth="1"/>
    <col min="15118" max="15118" width="13.375" customWidth="1"/>
    <col min="15119" max="15119" width="16.875" bestFit="1" customWidth="1"/>
    <col min="15120" max="15120" width="14.875" bestFit="1" customWidth="1"/>
    <col min="15121" max="15121" width="20.625" bestFit="1" customWidth="1"/>
    <col min="15122" max="15122" width="18.375" bestFit="1" customWidth="1"/>
    <col min="15123" max="15123" width="13.375" bestFit="1" customWidth="1"/>
    <col min="15124" max="15124" width="36.375" customWidth="1"/>
    <col min="15125" max="15125" width="36.375" bestFit="1" customWidth="1"/>
    <col min="15126" max="15126" width="24.625" customWidth="1"/>
    <col min="15127" max="15127" width="36.375" bestFit="1" customWidth="1"/>
    <col min="15128" max="15128" width="21.625" bestFit="1" customWidth="1"/>
    <col min="15129" max="15129" width="21.875" bestFit="1" customWidth="1"/>
    <col min="15130" max="15130" width="21.625" bestFit="1" customWidth="1"/>
    <col min="15131" max="15131" width="13.875" bestFit="1" customWidth="1"/>
    <col min="15132" max="15132" width="10.375" bestFit="1" customWidth="1"/>
    <col min="15133" max="15133" width="18.875" bestFit="1" customWidth="1"/>
    <col min="15134" max="15134" width="10.375" bestFit="1" customWidth="1"/>
    <col min="15135" max="15135" width="98.875" bestFit="1" customWidth="1"/>
    <col min="15136" max="15136" width="17.625" bestFit="1" customWidth="1"/>
    <col min="15137" max="15137" width="26.625" bestFit="1" customWidth="1"/>
    <col min="15138" max="15138" width="23.375" bestFit="1" customWidth="1"/>
    <col min="15139" max="15139" width="15.375" bestFit="1" customWidth="1"/>
    <col min="15140" max="15140" width="202.625" customWidth="1"/>
    <col min="15141" max="15141" width="46.625" bestFit="1" customWidth="1"/>
    <col min="15142" max="15142" width="26.125" bestFit="1" customWidth="1"/>
    <col min="15143" max="15143" width="18.875" bestFit="1" customWidth="1"/>
    <col min="15144" max="15144" width="42.125" bestFit="1" customWidth="1"/>
    <col min="15145" max="15146" width="18.875" bestFit="1" customWidth="1"/>
    <col min="15147" max="15147" width="22.375" bestFit="1" customWidth="1"/>
    <col min="15148" max="15148" width="17.625" bestFit="1" customWidth="1"/>
    <col min="15149" max="15149" width="17.375" bestFit="1" customWidth="1"/>
    <col min="15150" max="15150" width="15.125" bestFit="1" customWidth="1"/>
    <col min="15151" max="15151" width="27.875" bestFit="1" customWidth="1"/>
    <col min="15152" max="15152" width="31.375" bestFit="1" customWidth="1"/>
    <col min="15153" max="15153" width="14.125" bestFit="1" customWidth="1"/>
    <col min="15154" max="15154" width="10.625" customWidth="1"/>
    <col min="15155" max="15156" width="20.625" customWidth="1"/>
    <col min="15157" max="15157" width="19.375" bestFit="1" customWidth="1"/>
    <col min="15158" max="15158" width="21.875" bestFit="1" customWidth="1"/>
    <col min="15159" max="15159" width="25.625" customWidth="1"/>
    <col min="15160" max="15160" width="25.875" bestFit="1" customWidth="1"/>
    <col min="15161" max="15161" width="19.625" customWidth="1"/>
    <col min="15162" max="15162" width="35.125" bestFit="1" customWidth="1"/>
    <col min="15163" max="15163" width="27.125" bestFit="1" customWidth="1"/>
    <col min="15164" max="15164" width="36.125" bestFit="1" customWidth="1"/>
    <col min="15165" max="15165" width="27.875" bestFit="1" customWidth="1"/>
    <col min="15166" max="15166" width="19.375" bestFit="1" customWidth="1"/>
    <col min="15167" max="15167" width="17.625" bestFit="1" customWidth="1"/>
    <col min="15168" max="15168" width="30.125" bestFit="1" customWidth="1"/>
    <col min="15169" max="15169" width="25.625" customWidth="1"/>
    <col min="15170" max="15170" width="23.125" bestFit="1" customWidth="1"/>
    <col min="15171" max="15171" width="25.625" customWidth="1"/>
    <col min="15172" max="15172" width="23.125" bestFit="1" customWidth="1"/>
    <col min="15173" max="15173" width="19.625" bestFit="1" customWidth="1"/>
    <col min="15174" max="15174" width="23.125" bestFit="1" customWidth="1"/>
    <col min="15175" max="15175" width="24.625" customWidth="1"/>
    <col min="15176" max="15176" width="23.125" bestFit="1" customWidth="1"/>
    <col min="15177" max="15177" width="19.625" bestFit="1" customWidth="1"/>
    <col min="15178" max="15178" width="17.625" bestFit="1" customWidth="1"/>
    <col min="15179" max="15180" width="21.875" bestFit="1" customWidth="1"/>
    <col min="15181" max="15181" width="25.625" customWidth="1"/>
    <col min="15182" max="15182" width="23.125" bestFit="1" customWidth="1"/>
    <col min="15183" max="15183" width="25.625" customWidth="1"/>
    <col min="15184" max="15184" width="23.125" bestFit="1" customWidth="1"/>
    <col min="15185" max="15185" width="19.625" bestFit="1" customWidth="1"/>
    <col min="15186" max="15186" width="23.125" bestFit="1" customWidth="1"/>
    <col min="15187" max="15187" width="24.625" customWidth="1"/>
    <col min="15188" max="15188" width="23.125" bestFit="1" customWidth="1"/>
    <col min="15189" max="15189" width="19.625" bestFit="1" customWidth="1"/>
    <col min="15190" max="15190" width="27.375" bestFit="1" customWidth="1"/>
    <col min="15191" max="15191" width="25.625" customWidth="1"/>
    <col min="15192" max="15192" width="27.375" bestFit="1" customWidth="1"/>
    <col min="15193" max="15193" width="23.875" bestFit="1" customWidth="1"/>
    <col min="15194" max="15194" width="27.375" bestFit="1" customWidth="1"/>
    <col min="15195" max="15195" width="24.625" customWidth="1"/>
    <col min="15196" max="15196" width="27.375" bestFit="1" customWidth="1"/>
    <col min="15197" max="15197" width="23.875" bestFit="1" customWidth="1"/>
    <col min="15198" max="15198" width="17.625" customWidth="1"/>
    <col min="15199" max="15199" width="18.125" customWidth="1"/>
    <col min="15200" max="15201" width="29.125" bestFit="1" customWidth="1"/>
    <col min="15202" max="15202" width="33.375" bestFit="1" customWidth="1"/>
    <col min="15203" max="15203" width="32.375" bestFit="1" customWidth="1"/>
    <col min="15204" max="15205" width="28.875" bestFit="1" customWidth="1"/>
    <col min="15206" max="15206" width="33.125" bestFit="1" customWidth="1"/>
    <col min="15207" max="15207" width="29.125" bestFit="1" customWidth="1"/>
    <col min="15208" max="15209" width="25.375" bestFit="1" customWidth="1"/>
    <col min="15210" max="15210" width="29.875" customWidth="1"/>
    <col min="15211" max="15211" width="16.375" bestFit="1" customWidth="1"/>
    <col min="15212" max="15212" width="19.375" bestFit="1" customWidth="1"/>
    <col min="15213" max="15213" width="27.625" bestFit="1" customWidth="1"/>
    <col min="15214" max="15214" width="10.375" bestFit="1" customWidth="1"/>
    <col min="15215" max="15215" width="18.875" bestFit="1" customWidth="1"/>
    <col min="15216" max="15216" width="24.625" customWidth="1"/>
    <col min="15217" max="15217" width="17.625" bestFit="1" customWidth="1"/>
    <col min="15218" max="15218" width="24.875" bestFit="1" customWidth="1"/>
    <col min="15219" max="15219" width="21.875" bestFit="1" customWidth="1"/>
    <col min="15220" max="15220" width="12.125" bestFit="1" customWidth="1"/>
    <col min="15221" max="15221" width="17.375" bestFit="1" customWidth="1"/>
    <col min="15222" max="15222" width="13.375" bestFit="1" customWidth="1"/>
    <col min="15223" max="15223" width="17.375" bestFit="1" customWidth="1"/>
    <col min="15224" max="15231" width="8.625" bestFit="1" customWidth="1"/>
    <col min="15232" max="15232" width="10.125" bestFit="1" customWidth="1"/>
    <col min="15233" max="15236" width="8.625" bestFit="1" customWidth="1"/>
    <col min="15237" max="15237" width="5.625" bestFit="1" customWidth="1"/>
    <col min="15238" max="15238" width="17.375" bestFit="1" customWidth="1"/>
    <col min="15239" max="15239" width="21.875" bestFit="1" customWidth="1"/>
    <col min="15240" max="15240" width="57.375" bestFit="1" customWidth="1"/>
    <col min="15241" max="15241" width="25.375" bestFit="1" customWidth="1"/>
    <col min="15242" max="15242" width="15.625" customWidth="1"/>
    <col min="15243" max="15243" width="32.125" bestFit="1" customWidth="1"/>
    <col min="15244" max="15244" width="22.625" bestFit="1" customWidth="1"/>
    <col min="15245" max="15245" width="24.875" bestFit="1" customWidth="1"/>
    <col min="15246" max="15246" width="25.625" customWidth="1"/>
    <col min="15247" max="15247" width="31.375" bestFit="1" customWidth="1"/>
    <col min="15248" max="15248" width="24.625" customWidth="1"/>
    <col min="15249" max="15249" width="31.625" bestFit="1" customWidth="1"/>
    <col min="15250" max="15250" width="51.625" bestFit="1" customWidth="1"/>
    <col min="15251" max="15251" width="57.375" bestFit="1" customWidth="1"/>
    <col min="15252" max="15252" width="57.125" bestFit="1" customWidth="1"/>
    <col min="15253" max="15253" width="62.875" bestFit="1" customWidth="1"/>
    <col min="15254" max="15254" width="32.125" bestFit="1" customWidth="1"/>
    <col min="15360" max="15360" width="16.875" bestFit="1" customWidth="1"/>
    <col min="15361" max="15361" width="13.125" bestFit="1" customWidth="1"/>
    <col min="15362" max="15362" width="16.875" bestFit="1" customWidth="1"/>
    <col min="15363" max="15363" width="13.875" bestFit="1" customWidth="1"/>
    <col min="15364" max="15364" width="18.875" bestFit="1" customWidth="1"/>
    <col min="15365" max="15365" width="10.375" bestFit="1" customWidth="1"/>
    <col min="15366" max="15367" width="18.875" bestFit="1" customWidth="1"/>
    <col min="15368" max="15368" width="13.375" customWidth="1"/>
    <col min="15369" max="15370" width="18.875" bestFit="1" customWidth="1"/>
    <col min="15371" max="15371" width="15.125" bestFit="1" customWidth="1"/>
    <col min="15372" max="15372" width="15.375" bestFit="1" customWidth="1"/>
    <col min="15373" max="15373" width="16.625" customWidth="1"/>
    <col min="15374" max="15374" width="13.375" customWidth="1"/>
    <col min="15375" max="15375" width="16.875" bestFit="1" customWidth="1"/>
    <col min="15376" max="15376" width="14.875" bestFit="1" customWidth="1"/>
    <col min="15377" max="15377" width="20.625" bestFit="1" customWidth="1"/>
    <col min="15378" max="15378" width="18.375" bestFit="1" customWidth="1"/>
    <col min="15379" max="15379" width="13.375" bestFit="1" customWidth="1"/>
    <col min="15380" max="15380" width="36.375" customWidth="1"/>
    <col min="15381" max="15381" width="36.375" bestFit="1" customWidth="1"/>
    <col min="15382" max="15382" width="24.625" customWidth="1"/>
    <col min="15383" max="15383" width="36.375" bestFit="1" customWidth="1"/>
    <col min="15384" max="15384" width="21.625" bestFit="1" customWidth="1"/>
    <col min="15385" max="15385" width="21.875" bestFit="1" customWidth="1"/>
    <col min="15386" max="15386" width="21.625" bestFit="1" customWidth="1"/>
    <col min="15387" max="15387" width="13.875" bestFit="1" customWidth="1"/>
    <col min="15388" max="15388" width="10.375" bestFit="1" customWidth="1"/>
    <col min="15389" max="15389" width="18.875" bestFit="1" customWidth="1"/>
    <col min="15390" max="15390" width="10.375" bestFit="1" customWidth="1"/>
    <col min="15391" max="15391" width="98.875" bestFit="1" customWidth="1"/>
    <col min="15392" max="15392" width="17.625" bestFit="1" customWidth="1"/>
    <col min="15393" max="15393" width="26.625" bestFit="1" customWidth="1"/>
    <col min="15394" max="15394" width="23.375" bestFit="1" customWidth="1"/>
    <col min="15395" max="15395" width="15.375" bestFit="1" customWidth="1"/>
    <col min="15396" max="15396" width="202.625" customWidth="1"/>
    <col min="15397" max="15397" width="46.625" bestFit="1" customWidth="1"/>
    <col min="15398" max="15398" width="26.125" bestFit="1" customWidth="1"/>
    <col min="15399" max="15399" width="18.875" bestFit="1" customWidth="1"/>
    <col min="15400" max="15400" width="42.125" bestFit="1" customWidth="1"/>
    <col min="15401" max="15402" width="18.875" bestFit="1" customWidth="1"/>
    <col min="15403" max="15403" width="22.375" bestFit="1" customWidth="1"/>
    <col min="15404" max="15404" width="17.625" bestFit="1" customWidth="1"/>
    <col min="15405" max="15405" width="17.375" bestFit="1" customWidth="1"/>
    <col min="15406" max="15406" width="15.125" bestFit="1" customWidth="1"/>
    <col min="15407" max="15407" width="27.875" bestFit="1" customWidth="1"/>
    <col min="15408" max="15408" width="31.375" bestFit="1" customWidth="1"/>
    <col min="15409" max="15409" width="14.125" bestFit="1" customWidth="1"/>
    <col min="15410" max="15410" width="10.625" customWidth="1"/>
    <col min="15411" max="15412" width="20.625" customWidth="1"/>
    <col min="15413" max="15413" width="19.375" bestFit="1" customWidth="1"/>
    <col min="15414" max="15414" width="21.875" bestFit="1" customWidth="1"/>
    <col min="15415" max="15415" width="25.625" customWidth="1"/>
    <col min="15416" max="15416" width="25.875" bestFit="1" customWidth="1"/>
    <col min="15417" max="15417" width="19.625" customWidth="1"/>
    <col min="15418" max="15418" width="35.125" bestFit="1" customWidth="1"/>
    <col min="15419" max="15419" width="27.125" bestFit="1" customWidth="1"/>
    <col min="15420" max="15420" width="36.125" bestFit="1" customWidth="1"/>
    <col min="15421" max="15421" width="27.875" bestFit="1" customWidth="1"/>
    <col min="15422" max="15422" width="19.375" bestFit="1" customWidth="1"/>
    <col min="15423" max="15423" width="17.625" bestFit="1" customWidth="1"/>
    <col min="15424" max="15424" width="30.125" bestFit="1" customWidth="1"/>
    <col min="15425" max="15425" width="25.625" customWidth="1"/>
    <col min="15426" max="15426" width="23.125" bestFit="1" customWidth="1"/>
    <col min="15427" max="15427" width="25.625" customWidth="1"/>
    <col min="15428" max="15428" width="23.125" bestFit="1" customWidth="1"/>
    <col min="15429" max="15429" width="19.625" bestFit="1" customWidth="1"/>
    <col min="15430" max="15430" width="23.125" bestFit="1" customWidth="1"/>
    <col min="15431" max="15431" width="24.625" customWidth="1"/>
    <col min="15432" max="15432" width="23.125" bestFit="1" customWidth="1"/>
    <col min="15433" max="15433" width="19.625" bestFit="1" customWidth="1"/>
    <col min="15434" max="15434" width="17.625" bestFit="1" customWidth="1"/>
    <col min="15435" max="15436" width="21.875" bestFit="1" customWidth="1"/>
    <col min="15437" max="15437" width="25.625" customWidth="1"/>
    <col min="15438" max="15438" width="23.125" bestFit="1" customWidth="1"/>
    <col min="15439" max="15439" width="25.625" customWidth="1"/>
    <col min="15440" max="15440" width="23.125" bestFit="1" customWidth="1"/>
    <col min="15441" max="15441" width="19.625" bestFit="1" customWidth="1"/>
    <col min="15442" max="15442" width="23.125" bestFit="1" customWidth="1"/>
    <col min="15443" max="15443" width="24.625" customWidth="1"/>
    <col min="15444" max="15444" width="23.125" bestFit="1" customWidth="1"/>
    <col min="15445" max="15445" width="19.625" bestFit="1" customWidth="1"/>
    <col min="15446" max="15446" width="27.375" bestFit="1" customWidth="1"/>
    <col min="15447" max="15447" width="25.625" customWidth="1"/>
    <col min="15448" max="15448" width="27.375" bestFit="1" customWidth="1"/>
    <col min="15449" max="15449" width="23.875" bestFit="1" customWidth="1"/>
    <col min="15450" max="15450" width="27.375" bestFit="1" customWidth="1"/>
    <col min="15451" max="15451" width="24.625" customWidth="1"/>
    <col min="15452" max="15452" width="27.375" bestFit="1" customWidth="1"/>
    <col min="15453" max="15453" width="23.875" bestFit="1" customWidth="1"/>
    <col min="15454" max="15454" width="17.625" customWidth="1"/>
    <col min="15455" max="15455" width="18.125" customWidth="1"/>
    <col min="15456" max="15457" width="29.125" bestFit="1" customWidth="1"/>
    <col min="15458" max="15458" width="33.375" bestFit="1" customWidth="1"/>
    <col min="15459" max="15459" width="32.375" bestFit="1" customWidth="1"/>
    <col min="15460" max="15461" width="28.875" bestFit="1" customWidth="1"/>
    <col min="15462" max="15462" width="33.125" bestFit="1" customWidth="1"/>
    <col min="15463" max="15463" width="29.125" bestFit="1" customWidth="1"/>
    <col min="15464" max="15465" width="25.375" bestFit="1" customWidth="1"/>
    <col min="15466" max="15466" width="29.875" customWidth="1"/>
    <col min="15467" max="15467" width="16.375" bestFit="1" customWidth="1"/>
    <col min="15468" max="15468" width="19.375" bestFit="1" customWidth="1"/>
    <col min="15469" max="15469" width="27.625" bestFit="1" customWidth="1"/>
    <col min="15470" max="15470" width="10.375" bestFit="1" customWidth="1"/>
    <col min="15471" max="15471" width="18.875" bestFit="1" customWidth="1"/>
    <col min="15472" max="15472" width="24.625" customWidth="1"/>
    <col min="15473" max="15473" width="17.625" bestFit="1" customWidth="1"/>
    <col min="15474" max="15474" width="24.875" bestFit="1" customWidth="1"/>
    <col min="15475" max="15475" width="21.875" bestFit="1" customWidth="1"/>
    <col min="15476" max="15476" width="12.125" bestFit="1" customWidth="1"/>
    <col min="15477" max="15477" width="17.375" bestFit="1" customWidth="1"/>
    <col min="15478" max="15478" width="13.375" bestFit="1" customWidth="1"/>
    <col min="15479" max="15479" width="17.375" bestFit="1" customWidth="1"/>
    <col min="15480" max="15487" width="8.625" bestFit="1" customWidth="1"/>
    <col min="15488" max="15488" width="10.125" bestFit="1" customWidth="1"/>
    <col min="15489" max="15492" width="8.625" bestFit="1" customWidth="1"/>
    <col min="15493" max="15493" width="5.625" bestFit="1" customWidth="1"/>
    <col min="15494" max="15494" width="17.375" bestFit="1" customWidth="1"/>
    <col min="15495" max="15495" width="21.875" bestFit="1" customWidth="1"/>
    <col min="15496" max="15496" width="57.375" bestFit="1" customWidth="1"/>
    <col min="15497" max="15497" width="25.375" bestFit="1" customWidth="1"/>
    <col min="15498" max="15498" width="15.625" customWidth="1"/>
    <col min="15499" max="15499" width="32.125" bestFit="1" customWidth="1"/>
    <col min="15500" max="15500" width="22.625" bestFit="1" customWidth="1"/>
    <col min="15501" max="15501" width="24.875" bestFit="1" customWidth="1"/>
    <col min="15502" max="15502" width="25.625" customWidth="1"/>
    <col min="15503" max="15503" width="31.375" bestFit="1" customWidth="1"/>
    <col min="15504" max="15504" width="24.625" customWidth="1"/>
    <col min="15505" max="15505" width="31.625" bestFit="1" customWidth="1"/>
    <col min="15506" max="15506" width="51.625" bestFit="1" customWidth="1"/>
    <col min="15507" max="15507" width="57.375" bestFit="1" customWidth="1"/>
    <col min="15508" max="15508" width="57.125" bestFit="1" customWidth="1"/>
    <col min="15509" max="15509" width="62.875" bestFit="1" customWidth="1"/>
    <col min="15510" max="15510" width="32.125" bestFit="1" customWidth="1"/>
    <col min="15616" max="15616" width="16.875" bestFit="1" customWidth="1"/>
    <col min="15617" max="15617" width="13.125" bestFit="1" customWidth="1"/>
    <col min="15618" max="15618" width="16.875" bestFit="1" customWidth="1"/>
    <col min="15619" max="15619" width="13.875" bestFit="1" customWidth="1"/>
    <col min="15620" max="15620" width="18.875" bestFit="1" customWidth="1"/>
    <col min="15621" max="15621" width="10.375" bestFit="1" customWidth="1"/>
    <col min="15622" max="15623" width="18.875" bestFit="1" customWidth="1"/>
    <col min="15624" max="15624" width="13.375" customWidth="1"/>
    <col min="15625" max="15626" width="18.875" bestFit="1" customWidth="1"/>
    <col min="15627" max="15627" width="15.125" bestFit="1" customWidth="1"/>
    <col min="15628" max="15628" width="15.375" bestFit="1" customWidth="1"/>
    <col min="15629" max="15629" width="16.625" customWidth="1"/>
    <col min="15630" max="15630" width="13.375" customWidth="1"/>
    <col min="15631" max="15631" width="16.875" bestFit="1" customWidth="1"/>
    <col min="15632" max="15632" width="14.875" bestFit="1" customWidth="1"/>
    <col min="15633" max="15633" width="20.625" bestFit="1" customWidth="1"/>
    <col min="15634" max="15634" width="18.375" bestFit="1" customWidth="1"/>
    <col min="15635" max="15635" width="13.375" bestFit="1" customWidth="1"/>
    <col min="15636" max="15636" width="36.375" customWidth="1"/>
    <col min="15637" max="15637" width="36.375" bestFit="1" customWidth="1"/>
    <col min="15638" max="15638" width="24.625" customWidth="1"/>
    <col min="15639" max="15639" width="36.375" bestFit="1" customWidth="1"/>
    <col min="15640" max="15640" width="21.625" bestFit="1" customWidth="1"/>
    <col min="15641" max="15641" width="21.875" bestFit="1" customWidth="1"/>
    <col min="15642" max="15642" width="21.625" bestFit="1" customWidth="1"/>
    <col min="15643" max="15643" width="13.875" bestFit="1" customWidth="1"/>
    <col min="15644" max="15644" width="10.375" bestFit="1" customWidth="1"/>
    <col min="15645" max="15645" width="18.875" bestFit="1" customWidth="1"/>
    <col min="15646" max="15646" width="10.375" bestFit="1" customWidth="1"/>
    <col min="15647" max="15647" width="98.875" bestFit="1" customWidth="1"/>
    <col min="15648" max="15648" width="17.625" bestFit="1" customWidth="1"/>
    <col min="15649" max="15649" width="26.625" bestFit="1" customWidth="1"/>
    <col min="15650" max="15650" width="23.375" bestFit="1" customWidth="1"/>
    <col min="15651" max="15651" width="15.375" bestFit="1" customWidth="1"/>
    <col min="15652" max="15652" width="202.625" customWidth="1"/>
    <col min="15653" max="15653" width="46.625" bestFit="1" customWidth="1"/>
    <col min="15654" max="15654" width="26.125" bestFit="1" customWidth="1"/>
    <col min="15655" max="15655" width="18.875" bestFit="1" customWidth="1"/>
    <col min="15656" max="15656" width="42.125" bestFit="1" customWidth="1"/>
    <col min="15657" max="15658" width="18.875" bestFit="1" customWidth="1"/>
    <col min="15659" max="15659" width="22.375" bestFit="1" customWidth="1"/>
    <col min="15660" max="15660" width="17.625" bestFit="1" customWidth="1"/>
    <col min="15661" max="15661" width="17.375" bestFit="1" customWidth="1"/>
    <col min="15662" max="15662" width="15.125" bestFit="1" customWidth="1"/>
    <col min="15663" max="15663" width="27.875" bestFit="1" customWidth="1"/>
    <col min="15664" max="15664" width="31.375" bestFit="1" customWidth="1"/>
    <col min="15665" max="15665" width="14.125" bestFit="1" customWidth="1"/>
    <col min="15666" max="15666" width="10.625" customWidth="1"/>
    <col min="15667" max="15668" width="20.625" customWidth="1"/>
    <col min="15669" max="15669" width="19.375" bestFit="1" customWidth="1"/>
    <col min="15670" max="15670" width="21.875" bestFit="1" customWidth="1"/>
    <col min="15671" max="15671" width="25.625" customWidth="1"/>
    <col min="15672" max="15672" width="25.875" bestFit="1" customWidth="1"/>
    <col min="15673" max="15673" width="19.625" customWidth="1"/>
    <col min="15674" max="15674" width="35.125" bestFit="1" customWidth="1"/>
    <col min="15675" max="15675" width="27.125" bestFit="1" customWidth="1"/>
    <col min="15676" max="15676" width="36.125" bestFit="1" customWidth="1"/>
    <col min="15677" max="15677" width="27.875" bestFit="1" customWidth="1"/>
    <col min="15678" max="15678" width="19.375" bestFit="1" customWidth="1"/>
    <col min="15679" max="15679" width="17.625" bestFit="1" customWidth="1"/>
    <col min="15680" max="15680" width="30.125" bestFit="1" customWidth="1"/>
    <col min="15681" max="15681" width="25.625" customWidth="1"/>
    <col min="15682" max="15682" width="23.125" bestFit="1" customWidth="1"/>
    <col min="15683" max="15683" width="25.625" customWidth="1"/>
    <col min="15684" max="15684" width="23.125" bestFit="1" customWidth="1"/>
    <col min="15685" max="15685" width="19.625" bestFit="1" customWidth="1"/>
    <col min="15686" max="15686" width="23.125" bestFit="1" customWidth="1"/>
    <col min="15687" max="15687" width="24.625" customWidth="1"/>
    <col min="15688" max="15688" width="23.125" bestFit="1" customWidth="1"/>
    <col min="15689" max="15689" width="19.625" bestFit="1" customWidth="1"/>
    <col min="15690" max="15690" width="17.625" bestFit="1" customWidth="1"/>
    <col min="15691" max="15692" width="21.875" bestFit="1" customWidth="1"/>
    <col min="15693" max="15693" width="25.625" customWidth="1"/>
    <col min="15694" max="15694" width="23.125" bestFit="1" customWidth="1"/>
    <col min="15695" max="15695" width="25.625" customWidth="1"/>
    <col min="15696" max="15696" width="23.125" bestFit="1" customWidth="1"/>
    <col min="15697" max="15697" width="19.625" bestFit="1" customWidth="1"/>
    <col min="15698" max="15698" width="23.125" bestFit="1" customWidth="1"/>
    <col min="15699" max="15699" width="24.625" customWidth="1"/>
    <col min="15700" max="15700" width="23.125" bestFit="1" customWidth="1"/>
    <col min="15701" max="15701" width="19.625" bestFit="1" customWidth="1"/>
    <col min="15702" max="15702" width="27.375" bestFit="1" customWidth="1"/>
    <col min="15703" max="15703" width="25.625" customWidth="1"/>
    <col min="15704" max="15704" width="27.375" bestFit="1" customWidth="1"/>
    <col min="15705" max="15705" width="23.875" bestFit="1" customWidth="1"/>
    <col min="15706" max="15706" width="27.375" bestFit="1" customWidth="1"/>
    <col min="15707" max="15707" width="24.625" customWidth="1"/>
    <col min="15708" max="15708" width="27.375" bestFit="1" customWidth="1"/>
    <col min="15709" max="15709" width="23.875" bestFit="1" customWidth="1"/>
    <col min="15710" max="15710" width="17.625" customWidth="1"/>
    <col min="15711" max="15711" width="18.125" customWidth="1"/>
    <col min="15712" max="15713" width="29.125" bestFit="1" customWidth="1"/>
    <col min="15714" max="15714" width="33.375" bestFit="1" customWidth="1"/>
    <col min="15715" max="15715" width="32.375" bestFit="1" customWidth="1"/>
    <col min="15716" max="15717" width="28.875" bestFit="1" customWidth="1"/>
    <col min="15718" max="15718" width="33.125" bestFit="1" customWidth="1"/>
    <col min="15719" max="15719" width="29.125" bestFit="1" customWidth="1"/>
    <col min="15720" max="15721" width="25.375" bestFit="1" customWidth="1"/>
    <col min="15722" max="15722" width="29.875" customWidth="1"/>
    <col min="15723" max="15723" width="16.375" bestFit="1" customWidth="1"/>
    <col min="15724" max="15724" width="19.375" bestFit="1" customWidth="1"/>
    <col min="15725" max="15725" width="27.625" bestFit="1" customWidth="1"/>
    <col min="15726" max="15726" width="10.375" bestFit="1" customWidth="1"/>
    <col min="15727" max="15727" width="18.875" bestFit="1" customWidth="1"/>
    <col min="15728" max="15728" width="24.625" customWidth="1"/>
    <col min="15729" max="15729" width="17.625" bestFit="1" customWidth="1"/>
    <col min="15730" max="15730" width="24.875" bestFit="1" customWidth="1"/>
    <col min="15731" max="15731" width="21.875" bestFit="1" customWidth="1"/>
    <col min="15732" max="15732" width="12.125" bestFit="1" customWidth="1"/>
    <col min="15733" max="15733" width="17.375" bestFit="1" customWidth="1"/>
    <col min="15734" max="15734" width="13.375" bestFit="1" customWidth="1"/>
    <col min="15735" max="15735" width="17.375" bestFit="1" customWidth="1"/>
    <col min="15736" max="15743" width="8.625" bestFit="1" customWidth="1"/>
    <col min="15744" max="15744" width="10.125" bestFit="1" customWidth="1"/>
    <col min="15745" max="15748" width="8.625" bestFit="1" customWidth="1"/>
    <col min="15749" max="15749" width="5.625" bestFit="1" customWidth="1"/>
    <col min="15750" max="15750" width="17.375" bestFit="1" customWidth="1"/>
    <col min="15751" max="15751" width="21.875" bestFit="1" customWidth="1"/>
    <col min="15752" max="15752" width="57.375" bestFit="1" customWidth="1"/>
    <col min="15753" max="15753" width="25.375" bestFit="1" customWidth="1"/>
    <col min="15754" max="15754" width="15.625" customWidth="1"/>
    <col min="15755" max="15755" width="32.125" bestFit="1" customWidth="1"/>
    <col min="15756" max="15756" width="22.625" bestFit="1" customWidth="1"/>
    <col min="15757" max="15757" width="24.875" bestFit="1" customWidth="1"/>
    <col min="15758" max="15758" width="25.625" customWidth="1"/>
    <col min="15759" max="15759" width="31.375" bestFit="1" customWidth="1"/>
    <col min="15760" max="15760" width="24.625" customWidth="1"/>
    <col min="15761" max="15761" width="31.625" bestFit="1" customWidth="1"/>
    <col min="15762" max="15762" width="51.625" bestFit="1" customWidth="1"/>
    <col min="15763" max="15763" width="57.375" bestFit="1" customWidth="1"/>
    <col min="15764" max="15764" width="57.125" bestFit="1" customWidth="1"/>
    <col min="15765" max="15765" width="62.875" bestFit="1" customWidth="1"/>
    <col min="15766" max="15766" width="32.125" bestFit="1" customWidth="1"/>
    <col min="15872" max="15872" width="16.875" bestFit="1" customWidth="1"/>
    <col min="15873" max="15873" width="13.125" bestFit="1" customWidth="1"/>
    <col min="15874" max="15874" width="16.875" bestFit="1" customWidth="1"/>
    <col min="15875" max="15875" width="13.875" bestFit="1" customWidth="1"/>
    <col min="15876" max="15876" width="18.875" bestFit="1" customWidth="1"/>
    <col min="15877" max="15877" width="10.375" bestFit="1" customWidth="1"/>
    <col min="15878" max="15879" width="18.875" bestFit="1" customWidth="1"/>
    <col min="15880" max="15880" width="13.375" customWidth="1"/>
    <col min="15881" max="15882" width="18.875" bestFit="1" customWidth="1"/>
    <col min="15883" max="15883" width="15.125" bestFit="1" customWidth="1"/>
    <col min="15884" max="15884" width="15.375" bestFit="1" customWidth="1"/>
    <col min="15885" max="15885" width="16.625" customWidth="1"/>
    <col min="15886" max="15886" width="13.375" customWidth="1"/>
    <col min="15887" max="15887" width="16.875" bestFit="1" customWidth="1"/>
    <col min="15888" max="15888" width="14.875" bestFit="1" customWidth="1"/>
    <col min="15889" max="15889" width="20.625" bestFit="1" customWidth="1"/>
    <col min="15890" max="15890" width="18.375" bestFit="1" customWidth="1"/>
    <col min="15891" max="15891" width="13.375" bestFit="1" customWidth="1"/>
    <col min="15892" max="15892" width="36.375" customWidth="1"/>
    <col min="15893" max="15893" width="36.375" bestFit="1" customWidth="1"/>
    <col min="15894" max="15894" width="24.625" customWidth="1"/>
    <col min="15895" max="15895" width="36.375" bestFit="1" customWidth="1"/>
    <col min="15896" max="15896" width="21.625" bestFit="1" customWidth="1"/>
    <col min="15897" max="15897" width="21.875" bestFit="1" customWidth="1"/>
    <col min="15898" max="15898" width="21.625" bestFit="1" customWidth="1"/>
    <col min="15899" max="15899" width="13.875" bestFit="1" customWidth="1"/>
    <col min="15900" max="15900" width="10.375" bestFit="1" customWidth="1"/>
    <col min="15901" max="15901" width="18.875" bestFit="1" customWidth="1"/>
    <col min="15902" max="15902" width="10.375" bestFit="1" customWidth="1"/>
    <col min="15903" max="15903" width="98.875" bestFit="1" customWidth="1"/>
    <col min="15904" max="15904" width="17.625" bestFit="1" customWidth="1"/>
    <col min="15905" max="15905" width="26.625" bestFit="1" customWidth="1"/>
    <col min="15906" max="15906" width="23.375" bestFit="1" customWidth="1"/>
    <col min="15907" max="15907" width="15.375" bestFit="1" customWidth="1"/>
    <col min="15908" max="15908" width="202.625" customWidth="1"/>
    <col min="15909" max="15909" width="46.625" bestFit="1" customWidth="1"/>
    <col min="15910" max="15910" width="26.125" bestFit="1" customWidth="1"/>
    <col min="15911" max="15911" width="18.875" bestFit="1" customWidth="1"/>
    <col min="15912" max="15912" width="42.125" bestFit="1" customWidth="1"/>
    <col min="15913" max="15914" width="18.875" bestFit="1" customWidth="1"/>
    <col min="15915" max="15915" width="22.375" bestFit="1" customWidth="1"/>
    <col min="15916" max="15916" width="17.625" bestFit="1" customWidth="1"/>
    <col min="15917" max="15917" width="17.375" bestFit="1" customWidth="1"/>
    <col min="15918" max="15918" width="15.125" bestFit="1" customWidth="1"/>
    <col min="15919" max="15919" width="27.875" bestFit="1" customWidth="1"/>
    <col min="15920" max="15920" width="31.375" bestFit="1" customWidth="1"/>
    <col min="15921" max="15921" width="14.125" bestFit="1" customWidth="1"/>
    <col min="15922" max="15922" width="10.625" customWidth="1"/>
    <col min="15923" max="15924" width="20.625" customWidth="1"/>
    <col min="15925" max="15925" width="19.375" bestFit="1" customWidth="1"/>
    <col min="15926" max="15926" width="21.875" bestFit="1" customWidth="1"/>
    <col min="15927" max="15927" width="25.625" customWidth="1"/>
    <col min="15928" max="15928" width="25.875" bestFit="1" customWidth="1"/>
    <col min="15929" max="15929" width="19.625" customWidth="1"/>
    <col min="15930" max="15930" width="35.125" bestFit="1" customWidth="1"/>
    <col min="15931" max="15931" width="27.125" bestFit="1" customWidth="1"/>
    <col min="15932" max="15932" width="36.125" bestFit="1" customWidth="1"/>
    <col min="15933" max="15933" width="27.875" bestFit="1" customWidth="1"/>
    <col min="15934" max="15934" width="19.375" bestFit="1" customWidth="1"/>
    <col min="15935" max="15935" width="17.625" bestFit="1" customWidth="1"/>
    <col min="15936" max="15936" width="30.125" bestFit="1" customWidth="1"/>
    <col min="15937" max="15937" width="25.625" customWidth="1"/>
    <col min="15938" max="15938" width="23.125" bestFit="1" customWidth="1"/>
    <col min="15939" max="15939" width="25.625" customWidth="1"/>
    <col min="15940" max="15940" width="23.125" bestFit="1" customWidth="1"/>
    <col min="15941" max="15941" width="19.625" bestFit="1" customWidth="1"/>
    <col min="15942" max="15942" width="23.125" bestFit="1" customWidth="1"/>
    <col min="15943" max="15943" width="24.625" customWidth="1"/>
    <col min="15944" max="15944" width="23.125" bestFit="1" customWidth="1"/>
    <col min="15945" max="15945" width="19.625" bestFit="1" customWidth="1"/>
    <col min="15946" max="15946" width="17.625" bestFit="1" customWidth="1"/>
    <col min="15947" max="15948" width="21.875" bestFit="1" customWidth="1"/>
    <col min="15949" max="15949" width="25.625" customWidth="1"/>
    <col min="15950" max="15950" width="23.125" bestFit="1" customWidth="1"/>
    <col min="15951" max="15951" width="25.625" customWidth="1"/>
    <col min="15952" max="15952" width="23.125" bestFit="1" customWidth="1"/>
    <col min="15953" max="15953" width="19.625" bestFit="1" customWidth="1"/>
    <col min="15954" max="15954" width="23.125" bestFit="1" customWidth="1"/>
    <col min="15955" max="15955" width="24.625" customWidth="1"/>
    <col min="15956" max="15956" width="23.125" bestFit="1" customWidth="1"/>
    <col min="15957" max="15957" width="19.625" bestFit="1" customWidth="1"/>
    <col min="15958" max="15958" width="27.375" bestFit="1" customWidth="1"/>
    <col min="15959" max="15959" width="25.625" customWidth="1"/>
    <col min="15960" max="15960" width="27.375" bestFit="1" customWidth="1"/>
    <col min="15961" max="15961" width="23.875" bestFit="1" customWidth="1"/>
    <col min="15962" max="15962" width="27.375" bestFit="1" customWidth="1"/>
    <col min="15963" max="15963" width="24.625" customWidth="1"/>
    <col min="15964" max="15964" width="27.375" bestFit="1" customWidth="1"/>
    <col min="15965" max="15965" width="23.875" bestFit="1" customWidth="1"/>
    <col min="15966" max="15966" width="17.625" customWidth="1"/>
    <col min="15967" max="15967" width="18.125" customWidth="1"/>
    <col min="15968" max="15969" width="29.125" bestFit="1" customWidth="1"/>
    <col min="15970" max="15970" width="33.375" bestFit="1" customWidth="1"/>
    <col min="15971" max="15971" width="32.375" bestFit="1" customWidth="1"/>
    <col min="15972" max="15973" width="28.875" bestFit="1" customWidth="1"/>
    <col min="15974" max="15974" width="33.125" bestFit="1" customWidth="1"/>
    <col min="15975" max="15975" width="29.125" bestFit="1" customWidth="1"/>
    <col min="15976" max="15977" width="25.375" bestFit="1" customWidth="1"/>
    <col min="15978" max="15978" width="29.875" customWidth="1"/>
    <col min="15979" max="15979" width="16.375" bestFit="1" customWidth="1"/>
    <col min="15980" max="15980" width="19.375" bestFit="1" customWidth="1"/>
    <col min="15981" max="15981" width="27.625" bestFit="1" customWidth="1"/>
    <col min="15982" max="15982" width="10.375" bestFit="1" customWidth="1"/>
    <col min="15983" max="15983" width="18.875" bestFit="1" customWidth="1"/>
    <col min="15984" max="15984" width="24.625" customWidth="1"/>
    <col min="15985" max="15985" width="17.625" bestFit="1" customWidth="1"/>
    <col min="15986" max="15986" width="24.875" bestFit="1" customWidth="1"/>
    <col min="15987" max="15987" width="21.875" bestFit="1" customWidth="1"/>
    <col min="15988" max="15988" width="12.125" bestFit="1" customWidth="1"/>
    <col min="15989" max="15989" width="17.375" bestFit="1" customWidth="1"/>
    <col min="15990" max="15990" width="13.375" bestFit="1" customWidth="1"/>
    <col min="15991" max="15991" width="17.375" bestFit="1" customWidth="1"/>
    <col min="15992" max="15999" width="8.625" bestFit="1" customWidth="1"/>
    <col min="16000" max="16000" width="10.125" bestFit="1" customWidth="1"/>
    <col min="16001" max="16004" width="8.625" bestFit="1" customWidth="1"/>
    <col min="16005" max="16005" width="5.625" bestFit="1" customWidth="1"/>
    <col min="16006" max="16006" width="17.375" bestFit="1" customWidth="1"/>
    <col min="16007" max="16007" width="21.875" bestFit="1" customWidth="1"/>
    <col min="16008" max="16008" width="57.375" bestFit="1" customWidth="1"/>
    <col min="16009" max="16009" width="25.375" bestFit="1" customWidth="1"/>
    <col min="16010" max="16010" width="15.625" customWidth="1"/>
    <col min="16011" max="16011" width="32.125" bestFit="1" customWidth="1"/>
    <col min="16012" max="16012" width="22.625" bestFit="1" customWidth="1"/>
    <col min="16013" max="16013" width="24.875" bestFit="1" customWidth="1"/>
    <col min="16014" max="16014" width="25.625" customWidth="1"/>
    <col min="16015" max="16015" width="31.375" bestFit="1" customWidth="1"/>
    <col min="16016" max="16016" width="24.625" customWidth="1"/>
    <col min="16017" max="16017" width="31.625" bestFit="1" customWidth="1"/>
    <col min="16018" max="16018" width="51.625" bestFit="1" customWidth="1"/>
    <col min="16019" max="16019" width="57.375" bestFit="1" customWidth="1"/>
    <col min="16020" max="16020" width="57.125" bestFit="1" customWidth="1"/>
    <col min="16021" max="16021" width="62.875" bestFit="1" customWidth="1"/>
    <col min="16022" max="16022" width="32.125" bestFit="1" customWidth="1"/>
    <col min="16128" max="16128" width="16.875" bestFit="1" customWidth="1"/>
    <col min="16129" max="16129" width="13.125" bestFit="1" customWidth="1"/>
    <col min="16130" max="16130" width="16.875" bestFit="1" customWidth="1"/>
    <col min="16131" max="16131" width="13.875" bestFit="1" customWidth="1"/>
    <col min="16132" max="16132" width="18.875" bestFit="1" customWidth="1"/>
    <col min="16133" max="16133" width="10.375" bestFit="1" customWidth="1"/>
    <col min="16134" max="16135" width="18.875" bestFit="1" customWidth="1"/>
    <col min="16136" max="16136" width="13.375" customWidth="1"/>
    <col min="16137" max="16138" width="18.875" bestFit="1" customWidth="1"/>
    <col min="16139" max="16139" width="15.125" bestFit="1" customWidth="1"/>
    <col min="16140" max="16140" width="15.375" bestFit="1" customWidth="1"/>
    <col min="16141" max="16141" width="16.625" customWidth="1"/>
    <col min="16142" max="16142" width="13.375" customWidth="1"/>
    <col min="16143" max="16143" width="16.875" bestFit="1" customWidth="1"/>
    <col min="16144" max="16144" width="14.875" bestFit="1" customWidth="1"/>
    <col min="16145" max="16145" width="20.625" bestFit="1" customWidth="1"/>
    <col min="16146" max="16146" width="18.375" bestFit="1" customWidth="1"/>
    <col min="16147" max="16147" width="13.375" bestFit="1" customWidth="1"/>
    <col min="16148" max="16148" width="36.375" customWidth="1"/>
    <col min="16149" max="16149" width="36.375" bestFit="1" customWidth="1"/>
    <col min="16150" max="16150" width="24.625" customWidth="1"/>
    <col min="16151" max="16151" width="36.375" bestFit="1" customWidth="1"/>
    <col min="16152" max="16152" width="21.625" bestFit="1" customWidth="1"/>
    <col min="16153" max="16153" width="21.875" bestFit="1" customWidth="1"/>
    <col min="16154" max="16154" width="21.625" bestFit="1" customWidth="1"/>
    <col min="16155" max="16155" width="13.875" bestFit="1" customWidth="1"/>
    <col min="16156" max="16156" width="10.375" bestFit="1" customWidth="1"/>
    <col min="16157" max="16157" width="18.875" bestFit="1" customWidth="1"/>
    <col min="16158" max="16158" width="10.375" bestFit="1" customWidth="1"/>
    <col min="16159" max="16159" width="98.875" bestFit="1" customWidth="1"/>
    <col min="16160" max="16160" width="17.625" bestFit="1" customWidth="1"/>
    <col min="16161" max="16161" width="26.625" bestFit="1" customWidth="1"/>
    <col min="16162" max="16162" width="23.375" bestFit="1" customWidth="1"/>
    <col min="16163" max="16163" width="15.375" bestFit="1" customWidth="1"/>
    <col min="16164" max="16164" width="202.625" customWidth="1"/>
    <col min="16165" max="16165" width="46.625" bestFit="1" customWidth="1"/>
    <col min="16166" max="16166" width="26.125" bestFit="1" customWidth="1"/>
    <col min="16167" max="16167" width="18.875" bestFit="1" customWidth="1"/>
    <col min="16168" max="16168" width="42.125" bestFit="1" customWidth="1"/>
    <col min="16169" max="16170" width="18.875" bestFit="1" customWidth="1"/>
    <col min="16171" max="16171" width="22.375" bestFit="1" customWidth="1"/>
    <col min="16172" max="16172" width="17.625" bestFit="1" customWidth="1"/>
    <col min="16173" max="16173" width="17.375" bestFit="1" customWidth="1"/>
    <col min="16174" max="16174" width="15.125" bestFit="1" customWidth="1"/>
    <col min="16175" max="16175" width="27.875" bestFit="1" customWidth="1"/>
    <col min="16176" max="16176" width="31.375" bestFit="1" customWidth="1"/>
    <col min="16177" max="16177" width="14.125" bestFit="1" customWidth="1"/>
    <col min="16178" max="16178" width="10.625" customWidth="1"/>
    <col min="16179" max="16180" width="20.625" customWidth="1"/>
    <col min="16181" max="16181" width="19.375" bestFit="1" customWidth="1"/>
    <col min="16182" max="16182" width="21.875" bestFit="1" customWidth="1"/>
    <col min="16183" max="16183" width="25.625" customWidth="1"/>
    <col min="16184" max="16184" width="25.875" bestFit="1" customWidth="1"/>
    <col min="16185" max="16185" width="19.625" customWidth="1"/>
    <col min="16186" max="16186" width="35.125" bestFit="1" customWidth="1"/>
    <col min="16187" max="16187" width="27.125" bestFit="1" customWidth="1"/>
    <col min="16188" max="16188" width="36.125" bestFit="1" customWidth="1"/>
    <col min="16189" max="16189" width="27.875" bestFit="1" customWidth="1"/>
    <col min="16190" max="16190" width="19.375" bestFit="1" customWidth="1"/>
    <col min="16191" max="16191" width="17.625" bestFit="1" customWidth="1"/>
    <col min="16192" max="16192" width="30.125" bestFit="1" customWidth="1"/>
    <col min="16193" max="16193" width="25.625" customWidth="1"/>
    <col min="16194" max="16194" width="23.125" bestFit="1" customWidth="1"/>
    <col min="16195" max="16195" width="25.625" customWidth="1"/>
    <col min="16196" max="16196" width="23.125" bestFit="1" customWidth="1"/>
    <col min="16197" max="16197" width="19.625" bestFit="1" customWidth="1"/>
    <col min="16198" max="16198" width="23.125" bestFit="1" customWidth="1"/>
    <col min="16199" max="16199" width="24.625" customWidth="1"/>
    <col min="16200" max="16200" width="23.125" bestFit="1" customWidth="1"/>
    <col min="16201" max="16201" width="19.625" bestFit="1" customWidth="1"/>
    <col min="16202" max="16202" width="17.625" bestFit="1" customWidth="1"/>
    <col min="16203" max="16204" width="21.875" bestFit="1" customWidth="1"/>
    <col min="16205" max="16205" width="25.625" customWidth="1"/>
    <col min="16206" max="16206" width="23.125" bestFit="1" customWidth="1"/>
    <col min="16207" max="16207" width="25.625" customWidth="1"/>
    <col min="16208" max="16208" width="23.125" bestFit="1" customWidth="1"/>
    <col min="16209" max="16209" width="19.625" bestFit="1" customWidth="1"/>
    <col min="16210" max="16210" width="23.125" bestFit="1" customWidth="1"/>
    <col min="16211" max="16211" width="24.625" customWidth="1"/>
    <col min="16212" max="16212" width="23.125" bestFit="1" customWidth="1"/>
    <col min="16213" max="16213" width="19.625" bestFit="1" customWidth="1"/>
    <col min="16214" max="16214" width="27.375" bestFit="1" customWidth="1"/>
    <col min="16215" max="16215" width="25.625" customWidth="1"/>
    <col min="16216" max="16216" width="27.375" bestFit="1" customWidth="1"/>
    <col min="16217" max="16217" width="23.875" bestFit="1" customWidth="1"/>
    <col min="16218" max="16218" width="27.375" bestFit="1" customWidth="1"/>
    <col min="16219" max="16219" width="24.625" customWidth="1"/>
    <col min="16220" max="16220" width="27.375" bestFit="1" customWidth="1"/>
    <col min="16221" max="16221" width="23.875" bestFit="1" customWidth="1"/>
    <col min="16222" max="16222" width="17.625" customWidth="1"/>
    <col min="16223" max="16223" width="18.125" customWidth="1"/>
    <col min="16224" max="16225" width="29.125" bestFit="1" customWidth="1"/>
    <col min="16226" max="16226" width="33.375" bestFit="1" customWidth="1"/>
    <col min="16227" max="16227" width="32.375" bestFit="1" customWidth="1"/>
    <col min="16228" max="16229" width="28.875" bestFit="1" customWidth="1"/>
    <col min="16230" max="16230" width="33.125" bestFit="1" customWidth="1"/>
    <col min="16231" max="16231" width="29.125" bestFit="1" customWidth="1"/>
    <col min="16232" max="16233" width="25.375" bestFit="1" customWidth="1"/>
    <col min="16234" max="16234" width="29.875" customWidth="1"/>
    <col min="16235" max="16235" width="16.375" bestFit="1" customWidth="1"/>
    <col min="16236" max="16236" width="19.375" bestFit="1" customWidth="1"/>
    <col min="16237" max="16237" width="27.625" bestFit="1" customWidth="1"/>
    <col min="16238" max="16238" width="10.375" bestFit="1" customWidth="1"/>
    <col min="16239" max="16239" width="18.875" bestFit="1" customWidth="1"/>
    <col min="16240" max="16240" width="24.625" customWidth="1"/>
    <col min="16241" max="16241" width="17.625" bestFit="1" customWidth="1"/>
    <col min="16242" max="16242" width="24.875" bestFit="1" customWidth="1"/>
    <col min="16243" max="16243" width="21.875" bestFit="1" customWidth="1"/>
    <col min="16244" max="16244" width="12.125" bestFit="1" customWidth="1"/>
    <col min="16245" max="16245" width="17.375" bestFit="1" customWidth="1"/>
    <col min="16246" max="16246" width="13.375" bestFit="1" customWidth="1"/>
    <col min="16247" max="16247" width="17.375" bestFit="1" customWidth="1"/>
    <col min="16248" max="16255" width="8.625" bestFit="1" customWidth="1"/>
    <col min="16256" max="16256" width="10.125" bestFit="1" customWidth="1"/>
    <col min="16257" max="16260" width="8.625" bestFit="1" customWidth="1"/>
    <col min="16261" max="16261" width="5.625" bestFit="1" customWidth="1"/>
    <col min="16262" max="16262" width="17.375" bestFit="1" customWidth="1"/>
    <col min="16263" max="16263" width="21.875" bestFit="1" customWidth="1"/>
    <col min="16264" max="16264" width="57.375" bestFit="1" customWidth="1"/>
    <col min="16265" max="16265" width="25.375" bestFit="1" customWidth="1"/>
    <col min="16266" max="16266" width="15.625" customWidth="1"/>
    <col min="16267" max="16267" width="32.125" bestFit="1" customWidth="1"/>
    <col min="16268" max="16268" width="22.625" bestFit="1" customWidth="1"/>
    <col min="16269" max="16269" width="24.875" bestFit="1" customWidth="1"/>
    <col min="16270" max="16270" width="25.625" customWidth="1"/>
    <col min="16271" max="16271" width="31.375" bestFit="1" customWidth="1"/>
    <col min="16272" max="16272" width="24.625" customWidth="1"/>
    <col min="16273" max="16273" width="31.625" bestFit="1" customWidth="1"/>
    <col min="16274" max="16274" width="51.625" bestFit="1" customWidth="1"/>
    <col min="16275" max="16275" width="57.375" bestFit="1" customWidth="1"/>
    <col min="16276" max="16276" width="57.125" bestFit="1" customWidth="1"/>
    <col min="16277" max="16277" width="62.875" bestFit="1" customWidth="1"/>
    <col min="16278" max="16278" width="32.125" bestFit="1" customWidth="1"/>
  </cols>
  <sheetData>
    <row r="1" spans="1:150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8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8" t="s">
        <v>113</v>
      </c>
      <c r="DK1" s="7" t="s">
        <v>114</v>
      </c>
      <c r="DL1" s="7" t="s">
        <v>115</v>
      </c>
      <c r="DM1" s="7" t="s">
        <v>116</v>
      </c>
      <c r="DN1" s="8" t="s">
        <v>117</v>
      </c>
      <c r="DO1" s="7" t="s">
        <v>118</v>
      </c>
      <c r="DP1" s="7" t="s">
        <v>119</v>
      </c>
      <c r="DQ1" s="10" t="s">
        <v>135</v>
      </c>
      <c r="DR1" s="10" t="s">
        <v>136</v>
      </c>
      <c r="DS1" s="10" t="s">
        <v>137</v>
      </c>
      <c r="DT1" s="10" t="s">
        <v>138</v>
      </c>
      <c r="DU1" s="10" t="s">
        <v>139</v>
      </c>
      <c r="DV1" s="10" t="s">
        <v>140</v>
      </c>
      <c r="DW1" s="10" t="s">
        <v>141</v>
      </c>
      <c r="DX1" s="10" t="s">
        <v>142</v>
      </c>
      <c r="DY1" s="10" t="s">
        <v>143</v>
      </c>
      <c r="DZ1" s="10" t="s">
        <v>144</v>
      </c>
      <c r="EA1" s="10" t="s">
        <v>145</v>
      </c>
      <c r="EB1" s="10" t="s">
        <v>146</v>
      </c>
      <c r="EC1" s="10" t="s">
        <v>147</v>
      </c>
      <c r="ED1" s="10" t="s">
        <v>148</v>
      </c>
      <c r="EE1" s="11" t="s">
        <v>149</v>
      </c>
      <c r="EF1" s="9" t="s">
        <v>120</v>
      </c>
      <c r="EG1" s="9" t="s">
        <v>121</v>
      </c>
      <c r="EH1" s="9" t="s">
        <v>122</v>
      </c>
      <c r="EI1" s="9" t="s">
        <v>123</v>
      </c>
      <c r="EJ1" s="9" t="s">
        <v>124</v>
      </c>
      <c r="EK1" s="9" t="s">
        <v>125</v>
      </c>
      <c r="EL1" s="9" t="s">
        <v>126</v>
      </c>
      <c r="EM1" s="9" t="s">
        <v>127</v>
      </c>
      <c r="EN1" s="9" t="s">
        <v>128</v>
      </c>
      <c r="EO1" s="9" t="s">
        <v>129</v>
      </c>
      <c r="EP1" s="9" t="s">
        <v>130</v>
      </c>
      <c r="EQ1" s="9" t="s">
        <v>131</v>
      </c>
      <c r="ER1" s="9" t="s">
        <v>132</v>
      </c>
      <c r="ES1" s="9" t="s">
        <v>133</v>
      </c>
      <c r="ET1" s="9" t="s">
        <v>134</v>
      </c>
    </row>
    <row r="2" spans="1:150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2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3">
        <f t="shared" ref="EF2:EF12" si="0">DAY(DN2)</f>
        <v>0</v>
      </c>
      <c r="EG2" s="3">
        <f t="shared" ref="EG2:EG12" si="1">HOUR(DN2)</f>
        <v>0</v>
      </c>
      <c r="EH2" s="3">
        <f t="shared" ref="EH2:EH12" si="2">MINUTE(DN2)</f>
        <v>0</v>
      </c>
      <c r="EI2" s="3">
        <f t="shared" ref="EI2:EI12" si="3">SECOND(DN2)</f>
        <v>0</v>
      </c>
      <c r="EJ2" s="3" t="str">
        <f t="shared" ref="EJ2:EJ12" si="4">IF(BW2="","",DAY(BW2))</f>
        <v/>
      </c>
      <c r="EK2" s="3" t="str">
        <f t="shared" ref="EK2:EK12" si="5">IF(BW2="","",HOUR(BW2))</f>
        <v/>
      </c>
      <c r="EL2" s="3" t="str">
        <f t="shared" ref="EL2:EL12" si="6">IF(BW2="","",MINUTE(BW2))</f>
        <v/>
      </c>
      <c r="EM2" s="3" t="str">
        <f t="shared" ref="EM2:EM12" si="7">IF(BW2="","",SECOND(BW2))</f>
        <v/>
      </c>
      <c r="EN2" s="4">
        <f t="shared" ref="EN2:EN12" si="8">IF(EF2=EJ2,ROUND(((EK2-EG2)*60*60+(EL2-EH2)*60+EM2-EI2)/600,0),999)</f>
        <v>999</v>
      </c>
      <c r="EO2" s="3" t="str">
        <f t="shared" ref="EO2:EO12" si="9">IF(DJ2="","",DAY(DJ2))</f>
        <v/>
      </c>
      <c r="EP2" s="3" t="str">
        <f t="shared" ref="EP2:EP12" si="10">IF(DJ2="","",HOUR(DJ2))</f>
        <v/>
      </c>
      <c r="EQ2" s="3" t="str">
        <f t="shared" ref="EQ2:EQ12" si="11">IF(DJ2="","",MINUTE(DJ2))</f>
        <v/>
      </c>
      <c r="ER2" s="3" t="str">
        <f t="shared" ref="ER2:ER12" si="12">IF(DJ2="","",SECOND(DJ2))</f>
        <v/>
      </c>
      <c r="ES2" s="4">
        <f t="shared" ref="ES2:ES12" si="13">BW2-DJ2</f>
        <v>0</v>
      </c>
      <c r="ET2" s="5">
        <f t="shared" ref="ET2:ET65" si="14">ROUND(ES2*60*60*24/60,1)</f>
        <v>0</v>
      </c>
    </row>
    <row r="3" spans="1:150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2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3">
        <f t="shared" si="0"/>
        <v>0</v>
      </c>
      <c r="EG3" s="3">
        <f t="shared" si="1"/>
        <v>0</v>
      </c>
      <c r="EH3" s="3">
        <f t="shared" si="2"/>
        <v>0</v>
      </c>
      <c r="EI3" s="3">
        <f t="shared" si="3"/>
        <v>0</v>
      </c>
      <c r="EJ3" s="3" t="str">
        <f t="shared" si="4"/>
        <v/>
      </c>
      <c r="EK3" s="3" t="str">
        <f t="shared" si="5"/>
        <v/>
      </c>
      <c r="EL3" s="3" t="str">
        <f t="shared" si="6"/>
        <v/>
      </c>
      <c r="EM3" s="3" t="str">
        <f t="shared" si="7"/>
        <v/>
      </c>
      <c r="EN3" s="4">
        <f t="shared" si="8"/>
        <v>999</v>
      </c>
      <c r="EO3" s="3" t="str">
        <f t="shared" si="9"/>
        <v/>
      </c>
      <c r="EP3" s="3" t="str">
        <f t="shared" si="10"/>
        <v/>
      </c>
      <c r="EQ3" s="3" t="str">
        <f t="shared" si="11"/>
        <v/>
      </c>
      <c r="ER3" s="3" t="str">
        <f t="shared" si="12"/>
        <v/>
      </c>
      <c r="ES3" s="4">
        <f t="shared" si="13"/>
        <v>0</v>
      </c>
      <c r="ET3" s="5">
        <f t="shared" si="14"/>
        <v>0</v>
      </c>
    </row>
    <row r="4" spans="1:150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2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3">
        <f t="shared" si="0"/>
        <v>0</v>
      </c>
      <c r="EG4" s="3">
        <f t="shared" si="1"/>
        <v>0</v>
      </c>
      <c r="EH4" s="3">
        <f t="shared" si="2"/>
        <v>0</v>
      </c>
      <c r="EI4" s="3">
        <f t="shared" si="3"/>
        <v>0</v>
      </c>
      <c r="EJ4" s="3" t="str">
        <f t="shared" si="4"/>
        <v/>
      </c>
      <c r="EK4" s="3" t="str">
        <f t="shared" si="5"/>
        <v/>
      </c>
      <c r="EL4" s="3" t="str">
        <f t="shared" si="6"/>
        <v/>
      </c>
      <c r="EM4" s="3" t="str">
        <f t="shared" si="7"/>
        <v/>
      </c>
      <c r="EN4" s="4">
        <f t="shared" si="8"/>
        <v>999</v>
      </c>
      <c r="EO4" s="3" t="str">
        <f t="shared" si="9"/>
        <v/>
      </c>
      <c r="EP4" s="3" t="str">
        <f t="shared" si="10"/>
        <v/>
      </c>
      <c r="EQ4" s="3" t="str">
        <f t="shared" si="11"/>
        <v/>
      </c>
      <c r="ER4" s="3" t="str">
        <f t="shared" si="12"/>
        <v/>
      </c>
      <c r="ES4" s="4">
        <f t="shared" si="13"/>
        <v>0</v>
      </c>
      <c r="ET4" s="5">
        <f t="shared" si="14"/>
        <v>0</v>
      </c>
    </row>
    <row r="5" spans="1:150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2"/>
      <c r="AT5" s="1"/>
      <c r="AU5" s="1"/>
      <c r="AV5" s="1"/>
      <c r="AW5" s="1"/>
      <c r="AX5" s="1"/>
      <c r="AY5" s="1"/>
      <c r="AZ5" s="1"/>
      <c r="BA5" s="1"/>
      <c r="BB5" s="1"/>
      <c r="BC5" s="1"/>
      <c r="BD5" s="6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3">
        <f t="shared" si="0"/>
        <v>0</v>
      </c>
      <c r="EG5" s="3">
        <f t="shared" si="1"/>
        <v>0</v>
      </c>
      <c r="EH5" s="3">
        <f t="shared" si="2"/>
        <v>0</v>
      </c>
      <c r="EI5" s="3">
        <f t="shared" si="3"/>
        <v>0</v>
      </c>
      <c r="EJ5" s="3" t="str">
        <f t="shared" si="4"/>
        <v/>
      </c>
      <c r="EK5" s="3" t="str">
        <f t="shared" si="5"/>
        <v/>
      </c>
      <c r="EL5" s="3" t="str">
        <f t="shared" si="6"/>
        <v/>
      </c>
      <c r="EM5" s="3" t="str">
        <f t="shared" si="7"/>
        <v/>
      </c>
      <c r="EN5" s="4">
        <f t="shared" si="8"/>
        <v>999</v>
      </c>
      <c r="EO5" s="3" t="str">
        <f t="shared" si="9"/>
        <v/>
      </c>
      <c r="EP5" s="3" t="str">
        <f t="shared" si="10"/>
        <v/>
      </c>
      <c r="EQ5" s="3" t="str">
        <f t="shared" si="11"/>
        <v/>
      </c>
      <c r="ER5" s="3" t="str">
        <f t="shared" si="12"/>
        <v/>
      </c>
      <c r="ES5" s="4">
        <f t="shared" si="13"/>
        <v>0</v>
      </c>
      <c r="ET5" s="5">
        <f t="shared" si="14"/>
        <v>0</v>
      </c>
    </row>
    <row r="6" spans="1:150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2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6"/>
      <c r="DX6" s="1"/>
      <c r="DY6" s="1"/>
      <c r="DZ6" s="1"/>
      <c r="EA6" s="1"/>
      <c r="EB6" s="1"/>
      <c r="EC6" s="1"/>
      <c r="ED6" s="1"/>
      <c r="EE6" s="1"/>
      <c r="EF6" s="3">
        <f t="shared" si="0"/>
        <v>0</v>
      </c>
      <c r="EG6" s="3">
        <f t="shared" si="1"/>
        <v>0</v>
      </c>
      <c r="EH6" s="3">
        <f t="shared" si="2"/>
        <v>0</v>
      </c>
      <c r="EI6" s="3">
        <f t="shared" si="3"/>
        <v>0</v>
      </c>
      <c r="EJ6" s="3" t="str">
        <f t="shared" si="4"/>
        <v/>
      </c>
      <c r="EK6" s="3" t="str">
        <f t="shared" si="5"/>
        <v/>
      </c>
      <c r="EL6" s="3" t="str">
        <f t="shared" si="6"/>
        <v/>
      </c>
      <c r="EM6" s="3" t="str">
        <f t="shared" si="7"/>
        <v/>
      </c>
      <c r="EN6" s="4">
        <f t="shared" si="8"/>
        <v>999</v>
      </c>
      <c r="EO6" s="3" t="str">
        <f t="shared" si="9"/>
        <v/>
      </c>
      <c r="EP6" s="3" t="str">
        <f t="shared" si="10"/>
        <v/>
      </c>
      <c r="EQ6" s="3" t="str">
        <f t="shared" si="11"/>
        <v/>
      </c>
      <c r="ER6" s="3" t="str">
        <f t="shared" si="12"/>
        <v/>
      </c>
      <c r="ES6" s="4">
        <f t="shared" si="13"/>
        <v>0</v>
      </c>
      <c r="ET6" s="5">
        <f t="shared" si="14"/>
        <v>0</v>
      </c>
    </row>
    <row r="7" spans="1:150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2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3">
        <f t="shared" si="0"/>
        <v>0</v>
      </c>
      <c r="EG7" s="3">
        <f t="shared" si="1"/>
        <v>0</v>
      </c>
      <c r="EH7" s="3">
        <f t="shared" si="2"/>
        <v>0</v>
      </c>
      <c r="EI7" s="3">
        <f t="shared" si="3"/>
        <v>0</v>
      </c>
      <c r="EJ7" s="3" t="str">
        <f t="shared" si="4"/>
        <v/>
      </c>
      <c r="EK7" s="3" t="str">
        <f t="shared" si="5"/>
        <v/>
      </c>
      <c r="EL7" s="3" t="str">
        <f t="shared" si="6"/>
        <v/>
      </c>
      <c r="EM7" s="3" t="str">
        <f t="shared" si="7"/>
        <v/>
      </c>
      <c r="EN7" s="4">
        <f t="shared" si="8"/>
        <v>999</v>
      </c>
      <c r="EO7" s="3" t="str">
        <f t="shared" si="9"/>
        <v/>
      </c>
      <c r="EP7" s="3" t="str">
        <f t="shared" si="10"/>
        <v/>
      </c>
      <c r="EQ7" s="3" t="str">
        <f t="shared" si="11"/>
        <v/>
      </c>
      <c r="ER7" s="3" t="str">
        <f t="shared" si="12"/>
        <v/>
      </c>
      <c r="ES7" s="4">
        <f t="shared" si="13"/>
        <v>0</v>
      </c>
      <c r="ET7" s="5">
        <f t="shared" si="14"/>
        <v>0</v>
      </c>
    </row>
    <row r="8" spans="1:150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2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3">
        <f t="shared" si="0"/>
        <v>0</v>
      </c>
      <c r="EG8" s="3">
        <f t="shared" si="1"/>
        <v>0</v>
      </c>
      <c r="EH8" s="3">
        <f t="shared" si="2"/>
        <v>0</v>
      </c>
      <c r="EI8" s="3">
        <f t="shared" si="3"/>
        <v>0</v>
      </c>
      <c r="EJ8" s="3" t="str">
        <f t="shared" si="4"/>
        <v/>
      </c>
      <c r="EK8" s="3" t="str">
        <f t="shared" si="5"/>
        <v/>
      </c>
      <c r="EL8" s="3" t="str">
        <f t="shared" si="6"/>
        <v/>
      </c>
      <c r="EM8" s="3" t="str">
        <f t="shared" si="7"/>
        <v/>
      </c>
      <c r="EN8" s="4">
        <f t="shared" si="8"/>
        <v>999</v>
      </c>
      <c r="EO8" s="3" t="str">
        <f t="shared" si="9"/>
        <v/>
      </c>
      <c r="EP8" s="3" t="str">
        <f t="shared" si="10"/>
        <v/>
      </c>
      <c r="EQ8" s="3" t="str">
        <f t="shared" si="11"/>
        <v/>
      </c>
      <c r="ER8" s="3" t="str">
        <f t="shared" si="12"/>
        <v/>
      </c>
      <c r="ES8" s="4">
        <f t="shared" si="13"/>
        <v>0</v>
      </c>
      <c r="ET8" s="5">
        <f t="shared" si="14"/>
        <v>0</v>
      </c>
    </row>
    <row r="9" spans="1:150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2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3">
        <f t="shared" si="0"/>
        <v>0</v>
      </c>
      <c r="EG9" s="3">
        <f t="shared" si="1"/>
        <v>0</v>
      </c>
      <c r="EH9" s="3">
        <f t="shared" si="2"/>
        <v>0</v>
      </c>
      <c r="EI9" s="3">
        <f t="shared" si="3"/>
        <v>0</v>
      </c>
      <c r="EJ9" s="3" t="str">
        <f t="shared" si="4"/>
        <v/>
      </c>
      <c r="EK9" s="3" t="str">
        <f t="shared" si="5"/>
        <v/>
      </c>
      <c r="EL9" s="3" t="str">
        <f t="shared" si="6"/>
        <v/>
      </c>
      <c r="EM9" s="3" t="str">
        <f t="shared" si="7"/>
        <v/>
      </c>
      <c r="EN9" s="4">
        <f t="shared" si="8"/>
        <v>999</v>
      </c>
      <c r="EO9" s="3" t="str">
        <f t="shared" si="9"/>
        <v/>
      </c>
      <c r="EP9" s="3" t="str">
        <f t="shared" si="10"/>
        <v/>
      </c>
      <c r="EQ9" s="3" t="str">
        <f t="shared" si="11"/>
        <v/>
      </c>
      <c r="ER9" s="3" t="str">
        <f t="shared" si="12"/>
        <v/>
      </c>
      <c r="ES9" s="4">
        <f t="shared" si="13"/>
        <v>0</v>
      </c>
      <c r="ET9" s="5">
        <f t="shared" si="14"/>
        <v>0</v>
      </c>
    </row>
    <row r="10" spans="1:150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2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3">
        <f t="shared" si="0"/>
        <v>0</v>
      </c>
      <c r="EG10" s="3">
        <f t="shared" si="1"/>
        <v>0</v>
      </c>
      <c r="EH10" s="3">
        <f t="shared" si="2"/>
        <v>0</v>
      </c>
      <c r="EI10" s="3">
        <f t="shared" si="3"/>
        <v>0</v>
      </c>
      <c r="EJ10" s="3" t="str">
        <f t="shared" si="4"/>
        <v/>
      </c>
      <c r="EK10" s="3" t="str">
        <f t="shared" si="5"/>
        <v/>
      </c>
      <c r="EL10" s="3" t="str">
        <f t="shared" si="6"/>
        <v/>
      </c>
      <c r="EM10" s="3" t="str">
        <f t="shared" si="7"/>
        <v/>
      </c>
      <c r="EN10" s="4">
        <f t="shared" si="8"/>
        <v>999</v>
      </c>
      <c r="EO10" s="3" t="str">
        <f t="shared" si="9"/>
        <v/>
      </c>
      <c r="EP10" s="3" t="str">
        <f t="shared" si="10"/>
        <v/>
      </c>
      <c r="EQ10" s="3" t="str">
        <f t="shared" si="11"/>
        <v/>
      </c>
      <c r="ER10" s="3" t="str">
        <f t="shared" si="12"/>
        <v/>
      </c>
      <c r="ES10" s="4">
        <f t="shared" si="13"/>
        <v>0</v>
      </c>
      <c r="ET10" s="5">
        <f t="shared" si="14"/>
        <v>0</v>
      </c>
    </row>
    <row r="11" spans="1:150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2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6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3">
        <f t="shared" si="0"/>
        <v>0</v>
      </c>
      <c r="EG11" s="3">
        <f t="shared" si="1"/>
        <v>0</v>
      </c>
      <c r="EH11" s="3">
        <f t="shared" si="2"/>
        <v>0</v>
      </c>
      <c r="EI11" s="3">
        <f t="shared" si="3"/>
        <v>0</v>
      </c>
      <c r="EJ11" s="3" t="str">
        <f t="shared" si="4"/>
        <v/>
      </c>
      <c r="EK11" s="3" t="str">
        <f t="shared" si="5"/>
        <v/>
      </c>
      <c r="EL11" s="3" t="str">
        <f t="shared" si="6"/>
        <v/>
      </c>
      <c r="EM11" s="3" t="str">
        <f t="shared" si="7"/>
        <v/>
      </c>
      <c r="EN11" s="4">
        <f t="shared" si="8"/>
        <v>999</v>
      </c>
      <c r="EO11" s="3" t="str">
        <f t="shared" si="9"/>
        <v/>
      </c>
      <c r="EP11" s="3" t="str">
        <f t="shared" si="10"/>
        <v/>
      </c>
      <c r="EQ11" s="3" t="str">
        <f t="shared" si="11"/>
        <v/>
      </c>
      <c r="ER11" s="3" t="str">
        <f t="shared" si="12"/>
        <v/>
      </c>
      <c r="ES11" s="4">
        <f t="shared" si="13"/>
        <v>0</v>
      </c>
      <c r="ET11" s="5">
        <f t="shared" si="14"/>
        <v>0</v>
      </c>
    </row>
    <row r="12" spans="1:150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2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3">
        <f t="shared" si="0"/>
        <v>0</v>
      </c>
      <c r="EG12" s="3">
        <f t="shared" si="1"/>
        <v>0</v>
      </c>
      <c r="EH12" s="3">
        <f t="shared" si="2"/>
        <v>0</v>
      </c>
      <c r="EI12" s="3">
        <f t="shared" si="3"/>
        <v>0</v>
      </c>
      <c r="EJ12" s="3" t="str">
        <f t="shared" si="4"/>
        <v/>
      </c>
      <c r="EK12" s="3" t="str">
        <f t="shared" si="5"/>
        <v/>
      </c>
      <c r="EL12" s="3" t="str">
        <f t="shared" si="6"/>
        <v/>
      </c>
      <c r="EM12" s="3" t="str">
        <f t="shared" si="7"/>
        <v/>
      </c>
      <c r="EN12" s="4">
        <f t="shared" si="8"/>
        <v>999</v>
      </c>
      <c r="EO12" s="3" t="str">
        <f t="shared" si="9"/>
        <v/>
      </c>
      <c r="EP12" s="3" t="str">
        <f t="shared" si="10"/>
        <v/>
      </c>
      <c r="EQ12" s="3" t="str">
        <f t="shared" si="11"/>
        <v/>
      </c>
      <c r="ER12" s="3" t="str">
        <f t="shared" si="12"/>
        <v/>
      </c>
      <c r="ES12" s="4">
        <f t="shared" si="13"/>
        <v>0</v>
      </c>
      <c r="ET12" s="5">
        <f t="shared" si="14"/>
        <v>0</v>
      </c>
    </row>
    <row r="13" spans="1:150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2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3">
        <f>DAY(DN13)</f>
        <v>0</v>
      </c>
      <c r="EG13" s="3">
        <f>HOUR(DN13)</f>
        <v>0</v>
      </c>
      <c r="EH13" s="3">
        <f>MINUTE(DN13)</f>
        <v>0</v>
      </c>
      <c r="EI13" s="3">
        <f>SECOND(DN13)</f>
        <v>0</v>
      </c>
      <c r="EJ13" s="3" t="str">
        <f>IF(BW13="","",DAY(BW13))</f>
        <v/>
      </c>
      <c r="EK13" s="3" t="str">
        <f>IF(BW13="","",HOUR(BW13))</f>
        <v/>
      </c>
      <c r="EL13" s="3" t="str">
        <f>IF(BW13="","",MINUTE(BW13))</f>
        <v/>
      </c>
      <c r="EM13" s="3" t="str">
        <f>IF(BW13="","",SECOND(BW13))</f>
        <v/>
      </c>
      <c r="EN13" s="4">
        <f t="shared" ref="EN13:EN76" si="15">IF(EF13=EJ13,ROUND(((EK13-EG13)*60*60+(EL13-EH13)*60+EM13-EI13)/600,0),999)</f>
        <v>999</v>
      </c>
      <c r="EO13" s="3" t="str">
        <f>IF(DJ13="","",DAY(DJ13))</f>
        <v/>
      </c>
      <c r="EP13" s="3" t="str">
        <f>IF(DJ13="","",HOUR(DJ13))</f>
        <v/>
      </c>
      <c r="EQ13" s="3" t="str">
        <f>IF(DJ13="","",MINUTE(DJ13))</f>
        <v/>
      </c>
      <c r="ER13" s="3" t="str">
        <f>IF(DJ13="","",SECOND(DJ13))</f>
        <v/>
      </c>
      <c r="ES13" s="4">
        <f>BW13-DJ13</f>
        <v>0</v>
      </c>
      <c r="ET13" s="5">
        <f t="shared" si="14"/>
        <v>0</v>
      </c>
    </row>
    <row r="14" spans="1:150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2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3">
        <f>DAY(DN14)</f>
        <v>0</v>
      </c>
      <c r="EG14" s="3">
        <f>HOUR(DN14)</f>
        <v>0</v>
      </c>
      <c r="EH14" s="3">
        <f>MINUTE(DN14)</f>
        <v>0</v>
      </c>
      <c r="EI14" s="3">
        <f>SECOND(DN14)</f>
        <v>0</v>
      </c>
      <c r="EJ14" s="3" t="str">
        <f>IF(BW14="","",DAY(BW14))</f>
        <v/>
      </c>
      <c r="EK14" s="3" t="str">
        <f>IF(BW14="","",HOUR(BW14))</f>
        <v/>
      </c>
      <c r="EL14" s="3" t="str">
        <f>IF(BW14="","",MINUTE(BW14))</f>
        <v/>
      </c>
      <c r="EM14" s="3" t="str">
        <f>IF(BW14="","",SECOND(BW14))</f>
        <v/>
      </c>
      <c r="EN14" s="4">
        <f t="shared" si="15"/>
        <v>999</v>
      </c>
      <c r="EO14" s="3" t="str">
        <f>IF(DJ14="","",DAY(DJ14))</f>
        <v/>
      </c>
      <c r="EP14" s="3" t="str">
        <f>IF(DJ14="","",HOUR(DJ14))</f>
        <v/>
      </c>
      <c r="EQ14" s="3" t="str">
        <f>IF(DJ14="","",MINUTE(DJ14))</f>
        <v/>
      </c>
      <c r="ER14" s="3" t="str">
        <f>IF(DJ14="","",SECOND(DJ14))</f>
        <v/>
      </c>
      <c r="ES14" s="4">
        <f>BW14-DJ14</f>
        <v>0</v>
      </c>
      <c r="ET14" s="5">
        <f t="shared" si="14"/>
        <v>0</v>
      </c>
    </row>
    <row r="15" spans="1:150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2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3">
        <f>DAY(DN15)</f>
        <v>0</v>
      </c>
      <c r="EG15" s="3">
        <f>HOUR(DN15)</f>
        <v>0</v>
      </c>
      <c r="EH15" s="3">
        <f>MINUTE(DN15)</f>
        <v>0</v>
      </c>
      <c r="EI15" s="3">
        <f>SECOND(DN15)</f>
        <v>0</v>
      </c>
      <c r="EJ15" s="3" t="str">
        <f>IF(BW15="","",DAY(BW15))</f>
        <v/>
      </c>
      <c r="EK15" s="3" t="str">
        <f>IF(BW15="","",HOUR(BW15))</f>
        <v/>
      </c>
      <c r="EL15" s="3" t="str">
        <f>IF(BW15="","",MINUTE(BW15))</f>
        <v/>
      </c>
      <c r="EM15" s="3" t="str">
        <f>IF(BW15="","",SECOND(BW15))</f>
        <v/>
      </c>
      <c r="EN15" s="4">
        <f t="shared" si="15"/>
        <v>999</v>
      </c>
      <c r="EO15" s="3" t="str">
        <f>IF(DJ15="","",DAY(DJ15))</f>
        <v/>
      </c>
      <c r="EP15" s="3" t="str">
        <f>IF(DJ15="","",HOUR(DJ15))</f>
        <v/>
      </c>
      <c r="EQ15" s="3" t="str">
        <f>IF(DJ15="","",MINUTE(DJ15))</f>
        <v/>
      </c>
      <c r="ER15" s="3" t="str">
        <f>IF(DJ15="","",SECOND(DJ15))</f>
        <v/>
      </c>
      <c r="ES15" s="4">
        <f>BW15-DJ15</f>
        <v>0</v>
      </c>
      <c r="ET15" s="5">
        <f t="shared" si="14"/>
        <v>0</v>
      </c>
    </row>
    <row r="16" spans="1:150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2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3">
        <f>DAY(DN16)</f>
        <v>0</v>
      </c>
      <c r="EG16" s="3">
        <f>HOUR(DN16)</f>
        <v>0</v>
      </c>
      <c r="EH16" s="3">
        <f>MINUTE(DN16)</f>
        <v>0</v>
      </c>
      <c r="EI16" s="3">
        <f>SECOND(DN16)</f>
        <v>0</v>
      </c>
      <c r="EJ16" s="3" t="str">
        <f>IF(BW16="","",DAY(BW16))</f>
        <v/>
      </c>
      <c r="EK16" s="3" t="str">
        <f>IF(BW16="","",HOUR(BW16))</f>
        <v/>
      </c>
      <c r="EL16" s="3" t="str">
        <f>IF(BW16="","",MINUTE(BW16))</f>
        <v/>
      </c>
      <c r="EM16" s="3" t="str">
        <f>IF(BW16="","",SECOND(BW16))</f>
        <v/>
      </c>
      <c r="EN16" s="4">
        <f t="shared" si="15"/>
        <v>999</v>
      </c>
      <c r="EO16" s="3" t="str">
        <f>IF(DJ16="","",DAY(DJ16))</f>
        <v/>
      </c>
      <c r="EP16" s="3" t="str">
        <f>IF(DJ16="","",HOUR(DJ16))</f>
        <v/>
      </c>
      <c r="EQ16" s="3" t="str">
        <f>IF(DJ16="","",MINUTE(DJ16))</f>
        <v/>
      </c>
      <c r="ER16" s="3" t="str">
        <f>IF(DJ16="","",SECOND(DJ16))</f>
        <v/>
      </c>
      <c r="ES16" s="4">
        <f>BW16-DJ16</f>
        <v>0</v>
      </c>
      <c r="ET16" s="5">
        <f t="shared" si="14"/>
        <v>0</v>
      </c>
    </row>
    <row r="17" spans="1:150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2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3">
        <f>DAY(DN17)</f>
        <v>0</v>
      </c>
      <c r="EG17" s="3">
        <f>HOUR(DN17)</f>
        <v>0</v>
      </c>
      <c r="EH17" s="3">
        <f>MINUTE(DN17)</f>
        <v>0</v>
      </c>
      <c r="EI17" s="3">
        <f>SECOND(DN17)</f>
        <v>0</v>
      </c>
      <c r="EJ17" s="3" t="str">
        <f>IF(BW17="","",DAY(BW17))</f>
        <v/>
      </c>
      <c r="EK17" s="3" t="str">
        <f>IF(BW17="","",HOUR(BW17))</f>
        <v/>
      </c>
      <c r="EL17" s="3" t="str">
        <f>IF(BW17="","",MINUTE(BW17))</f>
        <v/>
      </c>
      <c r="EM17" s="3" t="str">
        <f>IF(BW17="","",SECOND(BW17))</f>
        <v/>
      </c>
      <c r="EN17" s="4">
        <f t="shared" si="15"/>
        <v>999</v>
      </c>
      <c r="EO17" s="3" t="str">
        <f>IF(DJ17="","",DAY(DJ17))</f>
        <v/>
      </c>
      <c r="EP17" s="3" t="str">
        <f>IF(DJ17="","",HOUR(DJ17))</f>
        <v/>
      </c>
      <c r="EQ17" s="3" t="str">
        <f>IF(DJ17="","",MINUTE(DJ17))</f>
        <v/>
      </c>
      <c r="ER17" s="3" t="str">
        <f>IF(DJ17="","",SECOND(DJ17))</f>
        <v/>
      </c>
      <c r="ES17" s="4">
        <f>BW17-DJ17</f>
        <v>0</v>
      </c>
      <c r="ET17" s="5">
        <f t="shared" si="14"/>
        <v>0</v>
      </c>
    </row>
    <row r="18" spans="1:150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2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3">
        <f>DAY(DN18)</f>
        <v>0</v>
      </c>
      <c r="EG18" s="3">
        <f>HOUR(DN18)</f>
        <v>0</v>
      </c>
      <c r="EH18" s="3">
        <f>MINUTE(DN18)</f>
        <v>0</v>
      </c>
      <c r="EI18" s="3">
        <f>SECOND(DN18)</f>
        <v>0</v>
      </c>
      <c r="EJ18" s="3" t="str">
        <f>IF(BW18="","",DAY(BW18))</f>
        <v/>
      </c>
      <c r="EK18" s="3" t="str">
        <f>IF(BW18="","",HOUR(BW18))</f>
        <v/>
      </c>
      <c r="EL18" s="3" t="str">
        <f>IF(BW18="","",MINUTE(BW18))</f>
        <v/>
      </c>
      <c r="EM18" s="3" t="str">
        <f>IF(BW18="","",SECOND(BW18))</f>
        <v/>
      </c>
      <c r="EN18" s="4">
        <f t="shared" si="15"/>
        <v>999</v>
      </c>
      <c r="EO18" s="3" t="str">
        <f>IF(DJ18="","",DAY(DJ18))</f>
        <v/>
      </c>
      <c r="EP18" s="3" t="str">
        <f>IF(DJ18="","",HOUR(DJ18))</f>
        <v/>
      </c>
      <c r="EQ18" s="3" t="str">
        <f>IF(DJ18="","",MINUTE(DJ18))</f>
        <v/>
      </c>
      <c r="ER18" s="3" t="str">
        <f>IF(DJ18="","",SECOND(DJ18))</f>
        <v/>
      </c>
      <c r="ES18" s="4">
        <f>BW18-DJ18</f>
        <v>0</v>
      </c>
      <c r="ET18" s="5">
        <f t="shared" si="14"/>
        <v>0</v>
      </c>
    </row>
    <row r="19" spans="1:150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2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3">
        <f>DAY(DN19)</f>
        <v>0</v>
      </c>
      <c r="EG19" s="3">
        <f>HOUR(DN19)</f>
        <v>0</v>
      </c>
      <c r="EH19" s="3">
        <f>MINUTE(DN19)</f>
        <v>0</v>
      </c>
      <c r="EI19" s="3">
        <f>SECOND(DN19)</f>
        <v>0</v>
      </c>
      <c r="EJ19" s="3" t="str">
        <f>IF(BW19="","",DAY(BW19))</f>
        <v/>
      </c>
      <c r="EK19" s="3" t="str">
        <f>IF(BW19="","",HOUR(BW19))</f>
        <v/>
      </c>
      <c r="EL19" s="3" t="str">
        <f>IF(BW19="","",MINUTE(BW19))</f>
        <v/>
      </c>
      <c r="EM19" s="3" t="str">
        <f>IF(BW19="","",SECOND(BW19))</f>
        <v/>
      </c>
      <c r="EN19" s="4">
        <f t="shared" si="15"/>
        <v>999</v>
      </c>
      <c r="EO19" s="3" t="str">
        <f>IF(DJ19="","",DAY(DJ19))</f>
        <v/>
      </c>
      <c r="EP19" s="3" t="str">
        <f>IF(DJ19="","",HOUR(DJ19))</f>
        <v/>
      </c>
      <c r="EQ19" s="3" t="str">
        <f>IF(DJ19="","",MINUTE(DJ19))</f>
        <v/>
      </c>
      <c r="ER19" s="3" t="str">
        <f>IF(DJ19="","",SECOND(DJ19))</f>
        <v/>
      </c>
      <c r="ES19" s="4">
        <f>BW19-DJ19</f>
        <v>0</v>
      </c>
      <c r="ET19" s="5">
        <f t="shared" si="14"/>
        <v>0</v>
      </c>
    </row>
    <row r="20" spans="1:150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2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3">
        <f>DAY(DN20)</f>
        <v>0</v>
      </c>
      <c r="EG20" s="3">
        <f>HOUR(DN20)</f>
        <v>0</v>
      </c>
      <c r="EH20" s="3">
        <f>MINUTE(DN20)</f>
        <v>0</v>
      </c>
      <c r="EI20" s="3">
        <f>SECOND(DN20)</f>
        <v>0</v>
      </c>
      <c r="EJ20" s="3" t="str">
        <f>IF(BW20="","",DAY(BW20))</f>
        <v/>
      </c>
      <c r="EK20" s="3" t="str">
        <f>IF(BW20="","",HOUR(BW20))</f>
        <v/>
      </c>
      <c r="EL20" s="3" t="str">
        <f>IF(BW20="","",MINUTE(BW20))</f>
        <v/>
      </c>
      <c r="EM20" s="3" t="str">
        <f>IF(BW20="","",SECOND(BW20))</f>
        <v/>
      </c>
      <c r="EN20" s="4">
        <f t="shared" si="15"/>
        <v>999</v>
      </c>
      <c r="EO20" s="3" t="str">
        <f>IF(DJ20="","",DAY(DJ20))</f>
        <v/>
      </c>
      <c r="EP20" s="3" t="str">
        <f>IF(DJ20="","",HOUR(DJ20))</f>
        <v/>
      </c>
      <c r="EQ20" s="3" t="str">
        <f>IF(DJ20="","",MINUTE(DJ20))</f>
        <v/>
      </c>
      <c r="ER20" s="3" t="str">
        <f>IF(DJ20="","",SECOND(DJ20))</f>
        <v/>
      </c>
      <c r="ES20" s="4">
        <f>BW20-DJ20</f>
        <v>0</v>
      </c>
      <c r="ET20" s="5">
        <f t="shared" si="14"/>
        <v>0</v>
      </c>
    </row>
    <row r="21" spans="1:150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2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3">
        <f>DAY(DN21)</f>
        <v>0</v>
      </c>
      <c r="EG21" s="3">
        <f>HOUR(DN21)</f>
        <v>0</v>
      </c>
      <c r="EH21" s="3">
        <f>MINUTE(DN21)</f>
        <v>0</v>
      </c>
      <c r="EI21" s="3">
        <f>SECOND(DN21)</f>
        <v>0</v>
      </c>
      <c r="EJ21" s="3" t="str">
        <f>IF(BW21="","",DAY(BW21))</f>
        <v/>
      </c>
      <c r="EK21" s="3" t="str">
        <f>IF(BW21="","",HOUR(BW21))</f>
        <v/>
      </c>
      <c r="EL21" s="3" t="str">
        <f>IF(BW21="","",MINUTE(BW21))</f>
        <v/>
      </c>
      <c r="EM21" s="3" t="str">
        <f>IF(BW21="","",SECOND(BW21))</f>
        <v/>
      </c>
      <c r="EN21" s="4">
        <f t="shared" si="15"/>
        <v>999</v>
      </c>
      <c r="EO21" s="3" t="str">
        <f>IF(DJ21="","",DAY(DJ21))</f>
        <v/>
      </c>
      <c r="EP21" s="3" t="str">
        <f>IF(DJ21="","",HOUR(DJ21))</f>
        <v/>
      </c>
      <c r="EQ21" s="3" t="str">
        <f>IF(DJ21="","",MINUTE(DJ21))</f>
        <v/>
      </c>
      <c r="ER21" s="3" t="str">
        <f>IF(DJ21="","",SECOND(DJ21))</f>
        <v/>
      </c>
      <c r="ES21" s="4">
        <f>BW21-DJ21</f>
        <v>0</v>
      </c>
      <c r="ET21" s="5">
        <f t="shared" si="14"/>
        <v>0</v>
      </c>
    </row>
    <row r="22" spans="1:150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2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3">
        <f>DAY(DN22)</f>
        <v>0</v>
      </c>
      <c r="EG22" s="3">
        <f>HOUR(DN22)</f>
        <v>0</v>
      </c>
      <c r="EH22" s="3">
        <f>MINUTE(DN22)</f>
        <v>0</v>
      </c>
      <c r="EI22" s="3">
        <f>SECOND(DN22)</f>
        <v>0</v>
      </c>
      <c r="EJ22" s="3" t="str">
        <f>IF(BW22="","",DAY(BW22))</f>
        <v/>
      </c>
      <c r="EK22" s="3" t="str">
        <f>IF(BW22="","",HOUR(BW22))</f>
        <v/>
      </c>
      <c r="EL22" s="3" t="str">
        <f>IF(BW22="","",MINUTE(BW22))</f>
        <v/>
      </c>
      <c r="EM22" s="3" t="str">
        <f>IF(BW22="","",SECOND(BW22))</f>
        <v/>
      </c>
      <c r="EN22" s="4">
        <f t="shared" si="15"/>
        <v>999</v>
      </c>
      <c r="EO22" s="3" t="str">
        <f>IF(DJ22="","",DAY(DJ22))</f>
        <v/>
      </c>
      <c r="EP22" s="3" t="str">
        <f>IF(DJ22="","",HOUR(DJ22))</f>
        <v/>
      </c>
      <c r="EQ22" s="3" t="str">
        <f>IF(DJ22="","",MINUTE(DJ22))</f>
        <v/>
      </c>
      <c r="ER22" s="3" t="str">
        <f>IF(DJ22="","",SECOND(DJ22))</f>
        <v/>
      </c>
      <c r="ES22" s="4">
        <f>BW22-DJ22</f>
        <v>0</v>
      </c>
      <c r="ET22" s="5">
        <f t="shared" si="14"/>
        <v>0</v>
      </c>
    </row>
    <row r="23" spans="1:150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2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3">
        <f>DAY(DN23)</f>
        <v>0</v>
      </c>
      <c r="EG23" s="3">
        <f>HOUR(DN23)</f>
        <v>0</v>
      </c>
      <c r="EH23" s="3">
        <f>MINUTE(DN23)</f>
        <v>0</v>
      </c>
      <c r="EI23" s="3">
        <f>SECOND(DN23)</f>
        <v>0</v>
      </c>
      <c r="EJ23" s="3" t="str">
        <f>IF(BW23="","",DAY(BW23))</f>
        <v/>
      </c>
      <c r="EK23" s="3" t="str">
        <f>IF(BW23="","",HOUR(BW23))</f>
        <v/>
      </c>
      <c r="EL23" s="3" t="str">
        <f>IF(BW23="","",MINUTE(BW23))</f>
        <v/>
      </c>
      <c r="EM23" s="3" t="str">
        <f>IF(BW23="","",SECOND(BW23))</f>
        <v/>
      </c>
      <c r="EN23" s="4">
        <f t="shared" si="15"/>
        <v>999</v>
      </c>
      <c r="EO23" s="3" t="str">
        <f>IF(DJ23="","",DAY(DJ23))</f>
        <v/>
      </c>
      <c r="EP23" s="3" t="str">
        <f>IF(DJ23="","",HOUR(DJ23))</f>
        <v/>
      </c>
      <c r="EQ23" s="3" t="str">
        <f>IF(DJ23="","",MINUTE(DJ23))</f>
        <v/>
      </c>
      <c r="ER23" s="3" t="str">
        <f>IF(DJ23="","",SECOND(DJ23))</f>
        <v/>
      </c>
      <c r="ES23" s="4">
        <f>BW23-DJ23</f>
        <v>0</v>
      </c>
      <c r="ET23" s="5">
        <f t="shared" si="14"/>
        <v>0</v>
      </c>
    </row>
    <row r="24" spans="1:150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2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3">
        <f>DAY(DN24)</f>
        <v>0</v>
      </c>
      <c r="EG24" s="3">
        <f>HOUR(DN24)</f>
        <v>0</v>
      </c>
      <c r="EH24" s="3">
        <f>MINUTE(DN24)</f>
        <v>0</v>
      </c>
      <c r="EI24" s="3">
        <f>SECOND(DN24)</f>
        <v>0</v>
      </c>
      <c r="EJ24" s="3" t="str">
        <f>IF(BW24="","",DAY(BW24))</f>
        <v/>
      </c>
      <c r="EK24" s="3" t="str">
        <f>IF(BW24="","",HOUR(BW24))</f>
        <v/>
      </c>
      <c r="EL24" s="3" t="str">
        <f>IF(BW24="","",MINUTE(BW24))</f>
        <v/>
      </c>
      <c r="EM24" s="3" t="str">
        <f>IF(BW24="","",SECOND(BW24))</f>
        <v/>
      </c>
      <c r="EN24" s="4">
        <f t="shared" si="15"/>
        <v>999</v>
      </c>
      <c r="EO24" s="3" t="str">
        <f>IF(DJ24="","",DAY(DJ24))</f>
        <v/>
      </c>
      <c r="EP24" s="3" t="str">
        <f>IF(DJ24="","",HOUR(DJ24))</f>
        <v/>
      </c>
      <c r="EQ24" s="3" t="str">
        <f>IF(DJ24="","",MINUTE(DJ24))</f>
        <v/>
      </c>
      <c r="ER24" s="3" t="str">
        <f>IF(DJ24="","",SECOND(DJ24))</f>
        <v/>
      </c>
      <c r="ES24" s="4">
        <f>BW24-DJ24</f>
        <v>0</v>
      </c>
      <c r="ET24" s="5">
        <f t="shared" si="14"/>
        <v>0</v>
      </c>
    </row>
    <row r="25" spans="1:150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2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3">
        <f>DAY(DN25)</f>
        <v>0</v>
      </c>
      <c r="EG25" s="3">
        <f>HOUR(DN25)</f>
        <v>0</v>
      </c>
      <c r="EH25" s="3">
        <f>MINUTE(DN25)</f>
        <v>0</v>
      </c>
      <c r="EI25" s="3">
        <f>SECOND(DN25)</f>
        <v>0</v>
      </c>
      <c r="EJ25" s="3" t="str">
        <f>IF(BW25="","",DAY(BW25))</f>
        <v/>
      </c>
      <c r="EK25" s="3" t="str">
        <f>IF(BW25="","",HOUR(BW25))</f>
        <v/>
      </c>
      <c r="EL25" s="3" t="str">
        <f>IF(BW25="","",MINUTE(BW25))</f>
        <v/>
      </c>
      <c r="EM25" s="3" t="str">
        <f>IF(BW25="","",SECOND(BW25))</f>
        <v/>
      </c>
      <c r="EN25" s="4">
        <f t="shared" si="15"/>
        <v>999</v>
      </c>
      <c r="EO25" s="3" t="str">
        <f>IF(DJ25="","",DAY(DJ25))</f>
        <v/>
      </c>
      <c r="EP25" s="3" t="str">
        <f>IF(DJ25="","",HOUR(DJ25))</f>
        <v/>
      </c>
      <c r="EQ25" s="3" t="str">
        <f>IF(DJ25="","",MINUTE(DJ25))</f>
        <v/>
      </c>
      <c r="ER25" s="3" t="str">
        <f>IF(DJ25="","",SECOND(DJ25))</f>
        <v/>
      </c>
      <c r="ES25" s="4">
        <f>BW25-DJ25</f>
        <v>0</v>
      </c>
      <c r="ET25" s="5">
        <f t="shared" si="14"/>
        <v>0</v>
      </c>
    </row>
    <row r="26" spans="1:150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2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3">
        <f>DAY(DN26)</f>
        <v>0</v>
      </c>
      <c r="EG26" s="3">
        <f>HOUR(DN26)</f>
        <v>0</v>
      </c>
      <c r="EH26" s="3">
        <f>MINUTE(DN26)</f>
        <v>0</v>
      </c>
      <c r="EI26" s="3">
        <f>SECOND(DN26)</f>
        <v>0</v>
      </c>
      <c r="EJ26" s="3" t="str">
        <f>IF(BW26="","",DAY(BW26))</f>
        <v/>
      </c>
      <c r="EK26" s="3" t="str">
        <f>IF(BW26="","",HOUR(BW26))</f>
        <v/>
      </c>
      <c r="EL26" s="3" t="str">
        <f>IF(BW26="","",MINUTE(BW26))</f>
        <v/>
      </c>
      <c r="EM26" s="3" t="str">
        <f>IF(BW26="","",SECOND(BW26))</f>
        <v/>
      </c>
      <c r="EN26" s="4">
        <f t="shared" si="15"/>
        <v>999</v>
      </c>
      <c r="EO26" s="3" t="str">
        <f>IF(DJ26="","",DAY(DJ26))</f>
        <v/>
      </c>
      <c r="EP26" s="3" t="str">
        <f>IF(DJ26="","",HOUR(DJ26))</f>
        <v/>
      </c>
      <c r="EQ26" s="3" t="str">
        <f>IF(DJ26="","",MINUTE(DJ26))</f>
        <v/>
      </c>
      <c r="ER26" s="3" t="str">
        <f>IF(DJ26="","",SECOND(DJ26))</f>
        <v/>
      </c>
      <c r="ES26" s="4">
        <f>BW26-DJ26</f>
        <v>0</v>
      </c>
      <c r="ET26" s="5">
        <f t="shared" si="14"/>
        <v>0</v>
      </c>
    </row>
    <row r="27" spans="1:150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2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3">
        <f>DAY(DN27)</f>
        <v>0</v>
      </c>
      <c r="EG27" s="3">
        <f>HOUR(DN27)</f>
        <v>0</v>
      </c>
      <c r="EH27" s="3">
        <f>MINUTE(DN27)</f>
        <v>0</v>
      </c>
      <c r="EI27" s="3">
        <f>SECOND(DN27)</f>
        <v>0</v>
      </c>
      <c r="EJ27" s="3" t="str">
        <f>IF(BW27="","",DAY(BW27))</f>
        <v/>
      </c>
      <c r="EK27" s="3" t="str">
        <f>IF(BW27="","",HOUR(BW27))</f>
        <v/>
      </c>
      <c r="EL27" s="3" t="str">
        <f>IF(BW27="","",MINUTE(BW27))</f>
        <v/>
      </c>
      <c r="EM27" s="3" t="str">
        <f>IF(BW27="","",SECOND(BW27))</f>
        <v/>
      </c>
      <c r="EN27" s="4">
        <f t="shared" si="15"/>
        <v>999</v>
      </c>
      <c r="EO27" s="3" t="str">
        <f>IF(DJ27="","",DAY(DJ27))</f>
        <v/>
      </c>
      <c r="EP27" s="3" t="str">
        <f>IF(DJ27="","",HOUR(DJ27))</f>
        <v/>
      </c>
      <c r="EQ27" s="3" t="str">
        <f>IF(DJ27="","",MINUTE(DJ27))</f>
        <v/>
      </c>
      <c r="ER27" s="3" t="str">
        <f>IF(DJ27="","",SECOND(DJ27))</f>
        <v/>
      </c>
      <c r="ES27" s="4">
        <f>BW27-DJ27</f>
        <v>0</v>
      </c>
      <c r="ET27" s="5">
        <f t="shared" si="14"/>
        <v>0</v>
      </c>
    </row>
    <row r="28" spans="1:150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2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3">
        <f>DAY(DN28)</f>
        <v>0</v>
      </c>
      <c r="EG28" s="3">
        <f>HOUR(DN28)</f>
        <v>0</v>
      </c>
      <c r="EH28" s="3">
        <f>MINUTE(DN28)</f>
        <v>0</v>
      </c>
      <c r="EI28" s="3">
        <f>SECOND(DN28)</f>
        <v>0</v>
      </c>
      <c r="EJ28" s="3" t="str">
        <f>IF(BW28="","",DAY(BW28))</f>
        <v/>
      </c>
      <c r="EK28" s="3" t="str">
        <f>IF(BW28="","",HOUR(BW28))</f>
        <v/>
      </c>
      <c r="EL28" s="3" t="str">
        <f>IF(BW28="","",MINUTE(BW28))</f>
        <v/>
      </c>
      <c r="EM28" s="3" t="str">
        <f>IF(BW28="","",SECOND(BW28))</f>
        <v/>
      </c>
      <c r="EN28" s="4">
        <f t="shared" si="15"/>
        <v>999</v>
      </c>
      <c r="EO28" s="3" t="str">
        <f>IF(DJ28="","",DAY(DJ28))</f>
        <v/>
      </c>
      <c r="EP28" s="3" t="str">
        <f>IF(DJ28="","",HOUR(DJ28))</f>
        <v/>
      </c>
      <c r="EQ28" s="3" t="str">
        <f>IF(DJ28="","",MINUTE(DJ28))</f>
        <v/>
      </c>
      <c r="ER28" s="3" t="str">
        <f>IF(DJ28="","",SECOND(DJ28))</f>
        <v/>
      </c>
      <c r="ES28" s="4">
        <f>BW28-DJ28</f>
        <v>0</v>
      </c>
      <c r="ET28" s="5">
        <f t="shared" si="14"/>
        <v>0</v>
      </c>
    </row>
    <row r="29" spans="1:150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2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3">
        <f>DAY(DN29)</f>
        <v>0</v>
      </c>
      <c r="EG29" s="3">
        <f>HOUR(DN29)</f>
        <v>0</v>
      </c>
      <c r="EH29" s="3">
        <f>MINUTE(DN29)</f>
        <v>0</v>
      </c>
      <c r="EI29" s="3">
        <f>SECOND(DN29)</f>
        <v>0</v>
      </c>
      <c r="EJ29" s="3" t="str">
        <f>IF(BW29="","",DAY(BW29))</f>
        <v/>
      </c>
      <c r="EK29" s="3" t="str">
        <f>IF(BW29="","",HOUR(BW29))</f>
        <v/>
      </c>
      <c r="EL29" s="3" t="str">
        <f>IF(BW29="","",MINUTE(BW29))</f>
        <v/>
      </c>
      <c r="EM29" s="3" t="str">
        <f>IF(BW29="","",SECOND(BW29))</f>
        <v/>
      </c>
      <c r="EN29" s="4">
        <f t="shared" si="15"/>
        <v>999</v>
      </c>
      <c r="EO29" s="3" t="str">
        <f>IF(DJ29="","",DAY(DJ29))</f>
        <v/>
      </c>
      <c r="EP29" s="3" t="str">
        <f>IF(DJ29="","",HOUR(DJ29))</f>
        <v/>
      </c>
      <c r="EQ29" s="3" t="str">
        <f>IF(DJ29="","",MINUTE(DJ29))</f>
        <v/>
      </c>
      <c r="ER29" s="3" t="str">
        <f>IF(DJ29="","",SECOND(DJ29))</f>
        <v/>
      </c>
      <c r="ES29" s="4">
        <f>BW29-DJ29</f>
        <v>0</v>
      </c>
      <c r="ET29" s="5">
        <f t="shared" si="14"/>
        <v>0</v>
      </c>
    </row>
    <row r="30" spans="1:150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2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3">
        <f>DAY(DN30)</f>
        <v>0</v>
      </c>
      <c r="EG30" s="3">
        <f>HOUR(DN30)</f>
        <v>0</v>
      </c>
      <c r="EH30" s="3">
        <f>MINUTE(DN30)</f>
        <v>0</v>
      </c>
      <c r="EI30" s="3">
        <f>SECOND(DN30)</f>
        <v>0</v>
      </c>
      <c r="EJ30" s="3" t="str">
        <f>IF(BW30="","",DAY(BW30))</f>
        <v/>
      </c>
      <c r="EK30" s="3" t="str">
        <f>IF(BW30="","",HOUR(BW30))</f>
        <v/>
      </c>
      <c r="EL30" s="3" t="str">
        <f>IF(BW30="","",MINUTE(BW30))</f>
        <v/>
      </c>
      <c r="EM30" s="3" t="str">
        <f>IF(BW30="","",SECOND(BW30))</f>
        <v/>
      </c>
      <c r="EN30" s="4">
        <f t="shared" si="15"/>
        <v>999</v>
      </c>
      <c r="EO30" s="3" t="str">
        <f>IF(DJ30="","",DAY(DJ30))</f>
        <v/>
      </c>
      <c r="EP30" s="3" t="str">
        <f>IF(DJ30="","",HOUR(DJ30))</f>
        <v/>
      </c>
      <c r="EQ30" s="3" t="str">
        <f>IF(DJ30="","",MINUTE(DJ30))</f>
        <v/>
      </c>
      <c r="ER30" s="3" t="str">
        <f>IF(DJ30="","",SECOND(DJ30))</f>
        <v/>
      </c>
      <c r="ES30" s="4">
        <f>BW30-DJ30</f>
        <v>0</v>
      </c>
      <c r="ET30" s="5">
        <f t="shared" si="14"/>
        <v>0</v>
      </c>
    </row>
    <row r="31" spans="1:150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2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3">
        <f>DAY(DN31)</f>
        <v>0</v>
      </c>
      <c r="EG31" s="3">
        <f>HOUR(DN31)</f>
        <v>0</v>
      </c>
      <c r="EH31" s="3">
        <f>MINUTE(DN31)</f>
        <v>0</v>
      </c>
      <c r="EI31" s="3">
        <f>SECOND(DN31)</f>
        <v>0</v>
      </c>
      <c r="EJ31" s="3" t="str">
        <f>IF(BW31="","",DAY(BW31))</f>
        <v/>
      </c>
      <c r="EK31" s="3" t="str">
        <f>IF(BW31="","",HOUR(BW31))</f>
        <v/>
      </c>
      <c r="EL31" s="3" t="str">
        <f>IF(BW31="","",MINUTE(BW31))</f>
        <v/>
      </c>
      <c r="EM31" s="3" t="str">
        <f>IF(BW31="","",SECOND(BW31))</f>
        <v/>
      </c>
      <c r="EN31" s="4">
        <f t="shared" si="15"/>
        <v>999</v>
      </c>
      <c r="EO31" s="3" t="str">
        <f>IF(DJ31="","",DAY(DJ31))</f>
        <v/>
      </c>
      <c r="EP31" s="3" t="str">
        <f>IF(DJ31="","",HOUR(DJ31))</f>
        <v/>
      </c>
      <c r="EQ31" s="3" t="str">
        <f>IF(DJ31="","",MINUTE(DJ31))</f>
        <v/>
      </c>
      <c r="ER31" s="3" t="str">
        <f>IF(DJ31="","",SECOND(DJ31))</f>
        <v/>
      </c>
      <c r="ES31" s="4">
        <f>BW31-DJ31</f>
        <v>0</v>
      </c>
      <c r="ET31" s="5">
        <f t="shared" si="14"/>
        <v>0</v>
      </c>
    </row>
    <row r="32" spans="1:150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2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3">
        <f>DAY(DN32)</f>
        <v>0</v>
      </c>
      <c r="EG32" s="3">
        <f>HOUR(DN32)</f>
        <v>0</v>
      </c>
      <c r="EH32" s="3">
        <f>MINUTE(DN32)</f>
        <v>0</v>
      </c>
      <c r="EI32" s="3">
        <f>SECOND(DN32)</f>
        <v>0</v>
      </c>
      <c r="EJ32" s="3" t="str">
        <f>IF(BW32="","",DAY(BW32))</f>
        <v/>
      </c>
      <c r="EK32" s="3" t="str">
        <f>IF(BW32="","",HOUR(BW32))</f>
        <v/>
      </c>
      <c r="EL32" s="3" t="str">
        <f>IF(BW32="","",MINUTE(BW32))</f>
        <v/>
      </c>
      <c r="EM32" s="3" t="str">
        <f>IF(BW32="","",SECOND(BW32))</f>
        <v/>
      </c>
      <c r="EN32" s="4">
        <f t="shared" si="15"/>
        <v>999</v>
      </c>
      <c r="EO32" s="3" t="str">
        <f>IF(DJ32="","",DAY(DJ32))</f>
        <v/>
      </c>
      <c r="EP32" s="3" t="str">
        <f>IF(DJ32="","",HOUR(DJ32))</f>
        <v/>
      </c>
      <c r="EQ32" s="3" t="str">
        <f>IF(DJ32="","",MINUTE(DJ32))</f>
        <v/>
      </c>
      <c r="ER32" s="3" t="str">
        <f>IF(DJ32="","",SECOND(DJ32))</f>
        <v/>
      </c>
      <c r="ES32" s="4">
        <f>BW32-DJ32</f>
        <v>0</v>
      </c>
      <c r="ET32" s="5">
        <f t="shared" si="14"/>
        <v>0</v>
      </c>
    </row>
    <row r="33" spans="1:150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2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3">
        <f>DAY(DN33)</f>
        <v>0</v>
      </c>
      <c r="EG33" s="3">
        <f>HOUR(DN33)</f>
        <v>0</v>
      </c>
      <c r="EH33" s="3">
        <f>MINUTE(DN33)</f>
        <v>0</v>
      </c>
      <c r="EI33" s="3">
        <f>SECOND(DN33)</f>
        <v>0</v>
      </c>
      <c r="EJ33" s="3" t="str">
        <f>IF(BW33="","",DAY(BW33))</f>
        <v/>
      </c>
      <c r="EK33" s="3" t="str">
        <f>IF(BW33="","",HOUR(BW33))</f>
        <v/>
      </c>
      <c r="EL33" s="3" t="str">
        <f>IF(BW33="","",MINUTE(BW33))</f>
        <v/>
      </c>
      <c r="EM33" s="3" t="str">
        <f>IF(BW33="","",SECOND(BW33))</f>
        <v/>
      </c>
      <c r="EN33" s="4">
        <f t="shared" si="15"/>
        <v>999</v>
      </c>
      <c r="EO33" s="3" t="str">
        <f>IF(DJ33="","",DAY(DJ33))</f>
        <v/>
      </c>
      <c r="EP33" s="3" t="str">
        <f>IF(DJ33="","",HOUR(DJ33))</f>
        <v/>
      </c>
      <c r="EQ33" s="3" t="str">
        <f>IF(DJ33="","",MINUTE(DJ33))</f>
        <v/>
      </c>
      <c r="ER33" s="3" t="str">
        <f>IF(DJ33="","",SECOND(DJ33))</f>
        <v/>
      </c>
      <c r="ES33" s="4">
        <f>BW33-DJ33</f>
        <v>0</v>
      </c>
      <c r="ET33" s="5">
        <f t="shared" si="14"/>
        <v>0</v>
      </c>
    </row>
    <row r="34" spans="1:150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2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3">
        <f>DAY(DN34)</f>
        <v>0</v>
      </c>
      <c r="EG34" s="3">
        <f>HOUR(DN34)</f>
        <v>0</v>
      </c>
      <c r="EH34" s="3">
        <f>MINUTE(DN34)</f>
        <v>0</v>
      </c>
      <c r="EI34" s="3">
        <f>SECOND(DN34)</f>
        <v>0</v>
      </c>
      <c r="EJ34" s="3" t="str">
        <f>IF(BW34="","",DAY(BW34))</f>
        <v/>
      </c>
      <c r="EK34" s="3" t="str">
        <f>IF(BW34="","",HOUR(BW34))</f>
        <v/>
      </c>
      <c r="EL34" s="3" t="str">
        <f>IF(BW34="","",MINUTE(BW34))</f>
        <v/>
      </c>
      <c r="EM34" s="3" t="str">
        <f>IF(BW34="","",SECOND(BW34))</f>
        <v/>
      </c>
      <c r="EN34" s="4">
        <f t="shared" si="15"/>
        <v>999</v>
      </c>
      <c r="EO34" s="3" t="str">
        <f>IF(DJ34="","",DAY(DJ34))</f>
        <v/>
      </c>
      <c r="EP34" s="3" t="str">
        <f>IF(DJ34="","",HOUR(DJ34))</f>
        <v/>
      </c>
      <c r="EQ34" s="3" t="str">
        <f>IF(DJ34="","",MINUTE(DJ34))</f>
        <v/>
      </c>
      <c r="ER34" s="3" t="str">
        <f>IF(DJ34="","",SECOND(DJ34))</f>
        <v/>
      </c>
      <c r="ES34" s="4">
        <f>BW34-DJ34</f>
        <v>0</v>
      </c>
      <c r="ET34" s="5">
        <f t="shared" si="14"/>
        <v>0</v>
      </c>
    </row>
    <row r="35" spans="1:150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2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3">
        <f>DAY(DN35)</f>
        <v>0</v>
      </c>
      <c r="EG35" s="3">
        <f>HOUR(DN35)</f>
        <v>0</v>
      </c>
      <c r="EH35" s="3">
        <f>MINUTE(DN35)</f>
        <v>0</v>
      </c>
      <c r="EI35" s="3">
        <f>SECOND(DN35)</f>
        <v>0</v>
      </c>
      <c r="EJ35" s="3" t="str">
        <f>IF(BW35="","",DAY(BW35))</f>
        <v/>
      </c>
      <c r="EK35" s="3" t="str">
        <f>IF(BW35="","",HOUR(BW35))</f>
        <v/>
      </c>
      <c r="EL35" s="3" t="str">
        <f>IF(BW35="","",MINUTE(BW35))</f>
        <v/>
      </c>
      <c r="EM35" s="3" t="str">
        <f>IF(BW35="","",SECOND(BW35))</f>
        <v/>
      </c>
      <c r="EN35" s="4">
        <f t="shared" si="15"/>
        <v>999</v>
      </c>
      <c r="EO35" s="3" t="str">
        <f>IF(DJ35="","",DAY(DJ35))</f>
        <v/>
      </c>
      <c r="EP35" s="3" t="str">
        <f>IF(DJ35="","",HOUR(DJ35))</f>
        <v/>
      </c>
      <c r="EQ35" s="3" t="str">
        <f>IF(DJ35="","",MINUTE(DJ35))</f>
        <v/>
      </c>
      <c r="ER35" s="3" t="str">
        <f>IF(DJ35="","",SECOND(DJ35))</f>
        <v/>
      </c>
      <c r="ES35" s="4">
        <f>BW35-DJ35</f>
        <v>0</v>
      </c>
      <c r="ET35" s="5">
        <f t="shared" si="14"/>
        <v>0</v>
      </c>
    </row>
    <row r="36" spans="1:150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2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3">
        <f>DAY(DN36)</f>
        <v>0</v>
      </c>
      <c r="EG36" s="3">
        <f>HOUR(DN36)</f>
        <v>0</v>
      </c>
      <c r="EH36" s="3">
        <f>MINUTE(DN36)</f>
        <v>0</v>
      </c>
      <c r="EI36" s="3">
        <f>SECOND(DN36)</f>
        <v>0</v>
      </c>
      <c r="EJ36" s="3" t="str">
        <f>IF(BW36="","",DAY(BW36))</f>
        <v/>
      </c>
      <c r="EK36" s="3" t="str">
        <f>IF(BW36="","",HOUR(BW36))</f>
        <v/>
      </c>
      <c r="EL36" s="3" t="str">
        <f>IF(BW36="","",MINUTE(BW36))</f>
        <v/>
      </c>
      <c r="EM36" s="3" t="str">
        <f>IF(BW36="","",SECOND(BW36))</f>
        <v/>
      </c>
      <c r="EN36" s="4">
        <f t="shared" si="15"/>
        <v>999</v>
      </c>
      <c r="EO36" s="3" t="str">
        <f>IF(DJ36="","",DAY(DJ36))</f>
        <v/>
      </c>
      <c r="EP36" s="3" t="str">
        <f>IF(DJ36="","",HOUR(DJ36))</f>
        <v/>
      </c>
      <c r="EQ36" s="3" t="str">
        <f>IF(DJ36="","",MINUTE(DJ36))</f>
        <v/>
      </c>
      <c r="ER36" s="3" t="str">
        <f>IF(DJ36="","",SECOND(DJ36))</f>
        <v/>
      </c>
      <c r="ES36" s="4">
        <f>BW36-DJ36</f>
        <v>0</v>
      </c>
      <c r="ET36" s="5">
        <f t="shared" si="14"/>
        <v>0</v>
      </c>
    </row>
    <row r="37" spans="1:150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2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3">
        <f>DAY(DN37)</f>
        <v>0</v>
      </c>
      <c r="EG37" s="3">
        <f>HOUR(DN37)</f>
        <v>0</v>
      </c>
      <c r="EH37" s="3">
        <f>MINUTE(DN37)</f>
        <v>0</v>
      </c>
      <c r="EI37" s="3">
        <f>SECOND(DN37)</f>
        <v>0</v>
      </c>
      <c r="EJ37" s="3" t="str">
        <f>IF(BW37="","",DAY(BW37))</f>
        <v/>
      </c>
      <c r="EK37" s="3" t="str">
        <f>IF(BW37="","",HOUR(BW37))</f>
        <v/>
      </c>
      <c r="EL37" s="3" t="str">
        <f>IF(BW37="","",MINUTE(BW37))</f>
        <v/>
      </c>
      <c r="EM37" s="3" t="str">
        <f>IF(BW37="","",SECOND(BW37))</f>
        <v/>
      </c>
      <c r="EN37" s="4">
        <f t="shared" si="15"/>
        <v>999</v>
      </c>
      <c r="EO37" s="3" t="str">
        <f>IF(DJ37="","",DAY(DJ37))</f>
        <v/>
      </c>
      <c r="EP37" s="3" t="str">
        <f>IF(DJ37="","",HOUR(DJ37))</f>
        <v/>
      </c>
      <c r="EQ37" s="3" t="str">
        <f>IF(DJ37="","",MINUTE(DJ37))</f>
        <v/>
      </c>
      <c r="ER37" s="3" t="str">
        <f>IF(DJ37="","",SECOND(DJ37))</f>
        <v/>
      </c>
      <c r="ES37" s="4">
        <f>BW37-DJ37</f>
        <v>0</v>
      </c>
      <c r="ET37" s="5">
        <f t="shared" si="14"/>
        <v>0</v>
      </c>
    </row>
    <row r="38" spans="1:150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2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3">
        <f>DAY(DN38)</f>
        <v>0</v>
      </c>
      <c r="EG38" s="3">
        <f>HOUR(DN38)</f>
        <v>0</v>
      </c>
      <c r="EH38" s="3">
        <f>MINUTE(DN38)</f>
        <v>0</v>
      </c>
      <c r="EI38" s="3">
        <f>SECOND(DN38)</f>
        <v>0</v>
      </c>
      <c r="EJ38" s="3" t="str">
        <f>IF(BW38="","",DAY(BW38))</f>
        <v/>
      </c>
      <c r="EK38" s="3" t="str">
        <f>IF(BW38="","",HOUR(BW38))</f>
        <v/>
      </c>
      <c r="EL38" s="3" t="str">
        <f>IF(BW38="","",MINUTE(BW38))</f>
        <v/>
      </c>
      <c r="EM38" s="3" t="str">
        <f>IF(BW38="","",SECOND(BW38))</f>
        <v/>
      </c>
      <c r="EN38" s="4">
        <f t="shared" si="15"/>
        <v>999</v>
      </c>
      <c r="EO38" s="3" t="str">
        <f>IF(DJ38="","",DAY(DJ38))</f>
        <v/>
      </c>
      <c r="EP38" s="3" t="str">
        <f>IF(DJ38="","",HOUR(DJ38))</f>
        <v/>
      </c>
      <c r="EQ38" s="3" t="str">
        <f>IF(DJ38="","",MINUTE(DJ38))</f>
        <v/>
      </c>
      <c r="ER38" s="3" t="str">
        <f>IF(DJ38="","",SECOND(DJ38))</f>
        <v/>
      </c>
      <c r="ES38" s="4">
        <f>BW38-DJ38</f>
        <v>0</v>
      </c>
      <c r="ET38" s="5">
        <f t="shared" si="14"/>
        <v>0</v>
      </c>
    </row>
    <row r="39" spans="1:150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2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3">
        <f>DAY(DN39)</f>
        <v>0</v>
      </c>
      <c r="EG39" s="3">
        <f>HOUR(DN39)</f>
        <v>0</v>
      </c>
      <c r="EH39" s="3">
        <f>MINUTE(DN39)</f>
        <v>0</v>
      </c>
      <c r="EI39" s="3">
        <f>SECOND(DN39)</f>
        <v>0</v>
      </c>
      <c r="EJ39" s="3" t="str">
        <f>IF(BW39="","",DAY(BW39))</f>
        <v/>
      </c>
      <c r="EK39" s="3" t="str">
        <f>IF(BW39="","",HOUR(BW39))</f>
        <v/>
      </c>
      <c r="EL39" s="3" t="str">
        <f>IF(BW39="","",MINUTE(BW39))</f>
        <v/>
      </c>
      <c r="EM39" s="3" t="str">
        <f>IF(BW39="","",SECOND(BW39))</f>
        <v/>
      </c>
      <c r="EN39" s="4">
        <f t="shared" si="15"/>
        <v>999</v>
      </c>
      <c r="EO39" s="3" t="str">
        <f>IF(DJ39="","",DAY(DJ39))</f>
        <v/>
      </c>
      <c r="EP39" s="3" t="str">
        <f>IF(DJ39="","",HOUR(DJ39))</f>
        <v/>
      </c>
      <c r="EQ39" s="3" t="str">
        <f>IF(DJ39="","",MINUTE(DJ39))</f>
        <v/>
      </c>
      <c r="ER39" s="3" t="str">
        <f>IF(DJ39="","",SECOND(DJ39))</f>
        <v/>
      </c>
      <c r="ES39" s="4">
        <f>BW39-DJ39</f>
        <v>0</v>
      </c>
      <c r="ET39" s="5">
        <f t="shared" si="14"/>
        <v>0</v>
      </c>
    </row>
    <row r="40" spans="1:150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2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3">
        <f>DAY(DN40)</f>
        <v>0</v>
      </c>
      <c r="EG40" s="3">
        <f>HOUR(DN40)</f>
        <v>0</v>
      </c>
      <c r="EH40" s="3">
        <f>MINUTE(DN40)</f>
        <v>0</v>
      </c>
      <c r="EI40" s="3">
        <f>SECOND(DN40)</f>
        <v>0</v>
      </c>
      <c r="EJ40" s="3" t="str">
        <f>IF(BW40="","",DAY(BW40))</f>
        <v/>
      </c>
      <c r="EK40" s="3" t="str">
        <f>IF(BW40="","",HOUR(BW40))</f>
        <v/>
      </c>
      <c r="EL40" s="3" t="str">
        <f>IF(BW40="","",MINUTE(BW40))</f>
        <v/>
      </c>
      <c r="EM40" s="3" t="str">
        <f>IF(BW40="","",SECOND(BW40))</f>
        <v/>
      </c>
      <c r="EN40" s="4">
        <f t="shared" si="15"/>
        <v>999</v>
      </c>
      <c r="EO40" s="3" t="str">
        <f>IF(DJ40="","",DAY(DJ40))</f>
        <v/>
      </c>
      <c r="EP40" s="3" t="str">
        <f>IF(DJ40="","",HOUR(DJ40))</f>
        <v/>
      </c>
      <c r="EQ40" s="3" t="str">
        <f>IF(DJ40="","",MINUTE(DJ40))</f>
        <v/>
      </c>
      <c r="ER40" s="3" t="str">
        <f>IF(DJ40="","",SECOND(DJ40))</f>
        <v/>
      </c>
      <c r="ES40" s="4">
        <f>BW40-DJ40</f>
        <v>0</v>
      </c>
      <c r="ET40" s="5">
        <f t="shared" si="14"/>
        <v>0</v>
      </c>
    </row>
    <row r="41" spans="1:150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2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3">
        <f>DAY(DN41)</f>
        <v>0</v>
      </c>
      <c r="EG41" s="3">
        <f>HOUR(DN41)</f>
        <v>0</v>
      </c>
      <c r="EH41" s="3">
        <f>MINUTE(DN41)</f>
        <v>0</v>
      </c>
      <c r="EI41" s="3">
        <f>SECOND(DN41)</f>
        <v>0</v>
      </c>
      <c r="EJ41" s="3" t="str">
        <f>IF(BW41="","",DAY(BW41))</f>
        <v/>
      </c>
      <c r="EK41" s="3" t="str">
        <f>IF(BW41="","",HOUR(BW41))</f>
        <v/>
      </c>
      <c r="EL41" s="3" t="str">
        <f>IF(BW41="","",MINUTE(BW41))</f>
        <v/>
      </c>
      <c r="EM41" s="3" t="str">
        <f>IF(BW41="","",SECOND(BW41))</f>
        <v/>
      </c>
      <c r="EN41" s="4">
        <f t="shared" si="15"/>
        <v>999</v>
      </c>
      <c r="EO41" s="3" t="str">
        <f>IF(DJ41="","",DAY(DJ41))</f>
        <v/>
      </c>
      <c r="EP41" s="3" t="str">
        <f>IF(DJ41="","",HOUR(DJ41))</f>
        <v/>
      </c>
      <c r="EQ41" s="3" t="str">
        <f>IF(DJ41="","",MINUTE(DJ41))</f>
        <v/>
      </c>
      <c r="ER41" s="3" t="str">
        <f>IF(DJ41="","",SECOND(DJ41))</f>
        <v/>
      </c>
      <c r="ES41" s="4">
        <f>BW41-DJ41</f>
        <v>0</v>
      </c>
      <c r="ET41" s="5">
        <f t="shared" si="14"/>
        <v>0</v>
      </c>
    </row>
    <row r="42" spans="1:150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2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3">
        <f>DAY(DN42)</f>
        <v>0</v>
      </c>
      <c r="EG42" s="3">
        <f>HOUR(DN42)</f>
        <v>0</v>
      </c>
      <c r="EH42" s="3">
        <f>MINUTE(DN42)</f>
        <v>0</v>
      </c>
      <c r="EI42" s="3">
        <f>SECOND(DN42)</f>
        <v>0</v>
      </c>
      <c r="EJ42" s="3" t="str">
        <f>IF(BW42="","",DAY(BW42))</f>
        <v/>
      </c>
      <c r="EK42" s="3" t="str">
        <f>IF(BW42="","",HOUR(BW42))</f>
        <v/>
      </c>
      <c r="EL42" s="3" t="str">
        <f>IF(BW42="","",MINUTE(BW42))</f>
        <v/>
      </c>
      <c r="EM42" s="3" t="str">
        <f>IF(BW42="","",SECOND(BW42))</f>
        <v/>
      </c>
      <c r="EN42" s="4">
        <f t="shared" si="15"/>
        <v>999</v>
      </c>
      <c r="EO42" s="3" t="str">
        <f>IF(DJ42="","",DAY(DJ42))</f>
        <v/>
      </c>
      <c r="EP42" s="3" t="str">
        <f>IF(DJ42="","",HOUR(DJ42))</f>
        <v/>
      </c>
      <c r="EQ42" s="3" t="str">
        <f>IF(DJ42="","",MINUTE(DJ42))</f>
        <v/>
      </c>
      <c r="ER42" s="3" t="str">
        <f>IF(DJ42="","",SECOND(DJ42))</f>
        <v/>
      </c>
      <c r="ES42" s="4">
        <f>BW42-DJ42</f>
        <v>0</v>
      </c>
      <c r="ET42" s="5">
        <f t="shared" si="14"/>
        <v>0</v>
      </c>
    </row>
    <row r="43" spans="1:150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2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3">
        <f>DAY(DN43)</f>
        <v>0</v>
      </c>
      <c r="EG43" s="3">
        <f>HOUR(DN43)</f>
        <v>0</v>
      </c>
      <c r="EH43" s="3">
        <f>MINUTE(DN43)</f>
        <v>0</v>
      </c>
      <c r="EI43" s="3">
        <f>SECOND(DN43)</f>
        <v>0</v>
      </c>
      <c r="EJ43" s="3" t="str">
        <f>IF(BW43="","",DAY(BW43))</f>
        <v/>
      </c>
      <c r="EK43" s="3" t="str">
        <f>IF(BW43="","",HOUR(BW43))</f>
        <v/>
      </c>
      <c r="EL43" s="3" t="str">
        <f>IF(BW43="","",MINUTE(BW43))</f>
        <v/>
      </c>
      <c r="EM43" s="3" t="str">
        <f>IF(BW43="","",SECOND(BW43))</f>
        <v/>
      </c>
      <c r="EN43" s="4">
        <f t="shared" si="15"/>
        <v>999</v>
      </c>
      <c r="EO43" s="3" t="str">
        <f>IF(DJ43="","",DAY(DJ43))</f>
        <v/>
      </c>
      <c r="EP43" s="3" t="str">
        <f>IF(DJ43="","",HOUR(DJ43))</f>
        <v/>
      </c>
      <c r="EQ43" s="3" t="str">
        <f>IF(DJ43="","",MINUTE(DJ43))</f>
        <v/>
      </c>
      <c r="ER43" s="3" t="str">
        <f>IF(DJ43="","",SECOND(DJ43))</f>
        <v/>
      </c>
      <c r="ES43" s="4">
        <f>BW43-DJ43</f>
        <v>0</v>
      </c>
      <c r="ET43" s="5">
        <f t="shared" si="14"/>
        <v>0</v>
      </c>
    </row>
    <row r="44" spans="1:150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2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3">
        <f>DAY(DN44)</f>
        <v>0</v>
      </c>
      <c r="EG44" s="3">
        <f>HOUR(DN44)</f>
        <v>0</v>
      </c>
      <c r="EH44" s="3">
        <f>MINUTE(DN44)</f>
        <v>0</v>
      </c>
      <c r="EI44" s="3">
        <f>SECOND(DN44)</f>
        <v>0</v>
      </c>
      <c r="EJ44" s="3" t="str">
        <f>IF(BW44="","",DAY(BW44))</f>
        <v/>
      </c>
      <c r="EK44" s="3" t="str">
        <f>IF(BW44="","",HOUR(BW44))</f>
        <v/>
      </c>
      <c r="EL44" s="3" t="str">
        <f>IF(BW44="","",MINUTE(BW44))</f>
        <v/>
      </c>
      <c r="EM44" s="3" t="str">
        <f>IF(BW44="","",SECOND(BW44))</f>
        <v/>
      </c>
      <c r="EN44" s="4">
        <f t="shared" si="15"/>
        <v>999</v>
      </c>
      <c r="EO44" s="3" t="str">
        <f>IF(DJ44="","",DAY(DJ44))</f>
        <v/>
      </c>
      <c r="EP44" s="3" t="str">
        <f>IF(DJ44="","",HOUR(DJ44))</f>
        <v/>
      </c>
      <c r="EQ44" s="3" t="str">
        <f>IF(DJ44="","",MINUTE(DJ44))</f>
        <v/>
      </c>
      <c r="ER44" s="3" t="str">
        <f>IF(DJ44="","",SECOND(DJ44))</f>
        <v/>
      </c>
      <c r="ES44" s="4">
        <f>BW44-DJ44</f>
        <v>0</v>
      </c>
      <c r="ET44" s="5">
        <f t="shared" si="14"/>
        <v>0</v>
      </c>
    </row>
    <row r="45" spans="1:150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2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3">
        <f>DAY(DN45)</f>
        <v>0</v>
      </c>
      <c r="EG45" s="3">
        <f>HOUR(DN45)</f>
        <v>0</v>
      </c>
      <c r="EH45" s="3">
        <f>MINUTE(DN45)</f>
        <v>0</v>
      </c>
      <c r="EI45" s="3">
        <f>SECOND(DN45)</f>
        <v>0</v>
      </c>
      <c r="EJ45" s="3" t="str">
        <f>IF(BW45="","",DAY(BW45))</f>
        <v/>
      </c>
      <c r="EK45" s="3" t="str">
        <f>IF(BW45="","",HOUR(BW45))</f>
        <v/>
      </c>
      <c r="EL45" s="3" t="str">
        <f>IF(BW45="","",MINUTE(BW45))</f>
        <v/>
      </c>
      <c r="EM45" s="3" t="str">
        <f>IF(BW45="","",SECOND(BW45))</f>
        <v/>
      </c>
      <c r="EN45" s="4">
        <f t="shared" si="15"/>
        <v>999</v>
      </c>
      <c r="EO45" s="3" t="str">
        <f>IF(DJ45="","",DAY(DJ45))</f>
        <v/>
      </c>
      <c r="EP45" s="3" t="str">
        <f>IF(DJ45="","",HOUR(DJ45))</f>
        <v/>
      </c>
      <c r="EQ45" s="3" t="str">
        <f>IF(DJ45="","",MINUTE(DJ45))</f>
        <v/>
      </c>
      <c r="ER45" s="3" t="str">
        <f>IF(DJ45="","",SECOND(DJ45))</f>
        <v/>
      </c>
      <c r="ES45" s="4">
        <f>BW45-DJ45</f>
        <v>0</v>
      </c>
      <c r="ET45" s="5">
        <f t="shared" si="14"/>
        <v>0</v>
      </c>
    </row>
    <row r="46" spans="1:150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2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3">
        <f>DAY(DN46)</f>
        <v>0</v>
      </c>
      <c r="EG46" s="3">
        <f>HOUR(DN46)</f>
        <v>0</v>
      </c>
      <c r="EH46" s="3">
        <f>MINUTE(DN46)</f>
        <v>0</v>
      </c>
      <c r="EI46" s="3">
        <f>SECOND(DN46)</f>
        <v>0</v>
      </c>
      <c r="EJ46" s="3" t="str">
        <f>IF(BW46="","",DAY(BW46))</f>
        <v/>
      </c>
      <c r="EK46" s="3" t="str">
        <f>IF(BW46="","",HOUR(BW46))</f>
        <v/>
      </c>
      <c r="EL46" s="3" t="str">
        <f>IF(BW46="","",MINUTE(BW46))</f>
        <v/>
      </c>
      <c r="EM46" s="3" t="str">
        <f>IF(BW46="","",SECOND(BW46))</f>
        <v/>
      </c>
      <c r="EN46" s="4">
        <f t="shared" si="15"/>
        <v>999</v>
      </c>
      <c r="EO46" s="3" t="str">
        <f>IF(DJ46="","",DAY(DJ46))</f>
        <v/>
      </c>
      <c r="EP46" s="3" t="str">
        <f>IF(DJ46="","",HOUR(DJ46))</f>
        <v/>
      </c>
      <c r="EQ46" s="3" t="str">
        <f>IF(DJ46="","",MINUTE(DJ46))</f>
        <v/>
      </c>
      <c r="ER46" s="3" t="str">
        <f>IF(DJ46="","",SECOND(DJ46))</f>
        <v/>
      </c>
      <c r="ES46" s="4">
        <f>BW46-DJ46</f>
        <v>0</v>
      </c>
      <c r="ET46" s="5">
        <f t="shared" si="14"/>
        <v>0</v>
      </c>
    </row>
    <row r="47" spans="1:150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2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3">
        <f>DAY(DN47)</f>
        <v>0</v>
      </c>
      <c r="EG47" s="3">
        <f>HOUR(DN47)</f>
        <v>0</v>
      </c>
      <c r="EH47" s="3">
        <f>MINUTE(DN47)</f>
        <v>0</v>
      </c>
      <c r="EI47" s="3">
        <f>SECOND(DN47)</f>
        <v>0</v>
      </c>
      <c r="EJ47" s="3" t="str">
        <f>IF(BW47="","",DAY(BW47))</f>
        <v/>
      </c>
      <c r="EK47" s="3" t="str">
        <f>IF(BW47="","",HOUR(BW47))</f>
        <v/>
      </c>
      <c r="EL47" s="3" t="str">
        <f>IF(BW47="","",MINUTE(BW47))</f>
        <v/>
      </c>
      <c r="EM47" s="3" t="str">
        <f>IF(BW47="","",SECOND(BW47))</f>
        <v/>
      </c>
      <c r="EN47" s="4">
        <f t="shared" si="15"/>
        <v>999</v>
      </c>
      <c r="EO47" s="3" t="str">
        <f>IF(DJ47="","",DAY(DJ47))</f>
        <v/>
      </c>
      <c r="EP47" s="3" t="str">
        <f>IF(DJ47="","",HOUR(DJ47))</f>
        <v/>
      </c>
      <c r="EQ47" s="3" t="str">
        <f>IF(DJ47="","",MINUTE(DJ47))</f>
        <v/>
      </c>
      <c r="ER47" s="3" t="str">
        <f>IF(DJ47="","",SECOND(DJ47))</f>
        <v/>
      </c>
      <c r="ES47" s="4">
        <f>BW47-DJ47</f>
        <v>0</v>
      </c>
      <c r="ET47" s="5">
        <f t="shared" si="14"/>
        <v>0</v>
      </c>
    </row>
    <row r="48" spans="1:150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2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3">
        <f>DAY(DN48)</f>
        <v>0</v>
      </c>
      <c r="EG48" s="3">
        <f>HOUR(DN48)</f>
        <v>0</v>
      </c>
      <c r="EH48" s="3">
        <f>MINUTE(DN48)</f>
        <v>0</v>
      </c>
      <c r="EI48" s="3">
        <f>SECOND(DN48)</f>
        <v>0</v>
      </c>
      <c r="EJ48" s="3" t="str">
        <f>IF(BW48="","",DAY(BW48))</f>
        <v/>
      </c>
      <c r="EK48" s="3" t="str">
        <f>IF(BW48="","",HOUR(BW48))</f>
        <v/>
      </c>
      <c r="EL48" s="3" t="str">
        <f>IF(BW48="","",MINUTE(BW48))</f>
        <v/>
      </c>
      <c r="EM48" s="3" t="str">
        <f>IF(BW48="","",SECOND(BW48))</f>
        <v/>
      </c>
      <c r="EN48" s="4">
        <f t="shared" si="15"/>
        <v>999</v>
      </c>
      <c r="EO48" s="3" t="str">
        <f>IF(DJ48="","",DAY(DJ48))</f>
        <v/>
      </c>
      <c r="EP48" s="3" t="str">
        <f>IF(DJ48="","",HOUR(DJ48))</f>
        <v/>
      </c>
      <c r="EQ48" s="3" t="str">
        <f>IF(DJ48="","",MINUTE(DJ48))</f>
        <v/>
      </c>
      <c r="ER48" s="3" t="str">
        <f>IF(DJ48="","",SECOND(DJ48))</f>
        <v/>
      </c>
      <c r="ES48" s="4">
        <f>BW48-DJ48</f>
        <v>0</v>
      </c>
      <c r="ET48" s="5">
        <f t="shared" si="14"/>
        <v>0</v>
      </c>
    </row>
    <row r="49" spans="1:150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2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3">
        <f>DAY(DN49)</f>
        <v>0</v>
      </c>
      <c r="EG49" s="3">
        <f>HOUR(DN49)</f>
        <v>0</v>
      </c>
      <c r="EH49" s="3">
        <f>MINUTE(DN49)</f>
        <v>0</v>
      </c>
      <c r="EI49" s="3">
        <f>SECOND(DN49)</f>
        <v>0</v>
      </c>
      <c r="EJ49" s="3" t="str">
        <f>IF(BW49="","",DAY(BW49))</f>
        <v/>
      </c>
      <c r="EK49" s="3" t="str">
        <f>IF(BW49="","",HOUR(BW49))</f>
        <v/>
      </c>
      <c r="EL49" s="3" t="str">
        <f>IF(BW49="","",MINUTE(BW49))</f>
        <v/>
      </c>
      <c r="EM49" s="3" t="str">
        <f>IF(BW49="","",SECOND(BW49))</f>
        <v/>
      </c>
      <c r="EN49" s="4">
        <f t="shared" si="15"/>
        <v>999</v>
      </c>
      <c r="EO49" s="3" t="str">
        <f>IF(DJ49="","",DAY(DJ49))</f>
        <v/>
      </c>
      <c r="EP49" s="3" t="str">
        <f>IF(DJ49="","",HOUR(DJ49))</f>
        <v/>
      </c>
      <c r="EQ49" s="3" t="str">
        <f>IF(DJ49="","",MINUTE(DJ49))</f>
        <v/>
      </c>
      <c r="ER49" s="3" t="str">
        <f>IF(DJ49="","",SECOND(DJ49))</f>
        <v/>
      </c>
      <c r="ES49" s="4">
        <f>BW49-DJ49</f>
        <v>0</v>
      </c>
      <c r="ET49" s="5">
        <f t="shared" si="14"/>
        <v>0</v>
      </c>
    </row>
    <row r="50" spans="1:150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2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3">
        <f>DAY(DN50)</f>
        <v>0</v>
      </c>
      <c r="EG50" s="3">
        <f>HOUR(DN50)</f>
        <v>0</v>
      </c>
      <c r="EH50" s="3">
        <f>MINUTE(DN50)</f>
        <v>0</v>
      </c>
      <c r="EI50" s="3">
        <f>SECOND(DN50)</f>
        <v>0</v>
      </c>
      <c r="EJ50" s="3" t="str">
        <f>IF(BW50="","",DAY(BW50))</f>
        <v/>
      </c>
      <c r="EK50" s="3" t="str">
        <f>IF(BW50="","",HOUR(BW50))</f>
        <v/>
      </c>
      <c r="EL50" s="3" t="str">
        <f>IF(BW50="","",MINUTE(BW50))</f>
        <v/>
      </c>
      <c r="EM50" s="3" t="str">
        <f>IF(BW50="","",SECOND(BW50))</f>
        <v/>
      </c>
      <c r="EN50" s="4">
        <f t="shared" si="15"/>
        <v>999</v>
      </c>
      <c r="EO50" s="3" t="str">
        <f>IF(DJ50="","",DAY(DJ50))</f>
        <v/>
      </c>
      <c r="EP50" s="3" t="str">
        <f>IF(DJ50="","",HOUR(DJ50))</f>
        <v/>
      </c>
      <c r="EQ50" s="3" t="str">
        <f>IF(DJ50="","",MINUTE(DJ50))</f>
        <v/>
      </c>
      <c r="ER50" s="3" t="str">
        <f>IF(DJ50="","",SECOND(DJ50))</f>
        <v/>
      </c>
      <c r="ES50" s="4">
        <f>BW50-DJ50</f>
        <v>0</v>
      </c>
      <c r="ET50" s="5">
        <f t="shared" si="14"/>
        <v>0</v>
      </c>
    </row>
    <row r="51" spans="1:150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2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3">
        <f>DAY(DN51)</f>
        <v>0</v>
      </c>
      <c r="EG51" s="3">
        <f>HOUR(DN51)</f>
        <v>0</v>
      </c>
      <c r="EH51" s="3">
        <f>MINUTE(DN51)</f>
        <v>0</v>
      </c>
      <c r="EI51" s="3">
        <f>SECOND(DN51)</f>
        <v>0</v>
      </c>
      <c r="EJ51" s="3" t="str">
        <f>IF(BW51="","",DAY(BW51))</f>
        <v/>
      </c>
      <c r="EK51" s="3" t="str">
        <f>IF(BW51="","",HOUR(BW51))</f>
        <v/>
      </c>
      <c r="EL51" s="3" t="str">
        <f>IF(BW51="","",MINUTE(BW51))</f>
        <v/>
      </c>
      <c r="EM51" s="3" t="str">
        <f>IF(BW51="","",SECOND(BW51))</f>
        <v/>
      </c>
      <c r="EN51" s="4">
        <f t="shared" si="15"/>
        <v>999</v>
      </c>
      <c r="EO51" s="3" t="str">
        <f>IF(DJ51="","",DAY(DJ51))</f>
        <v/>
      </c>
      <c r="EP51" s="3" t="str">
        <f>IF(DJ51="","",HOUR(DJ51))</f>
        <v/>
      </c>
      <c r="EQ51" s="3" t="str">
        <f>IF(DJ51="","",MINUTE(DJ51))</f>
        <v/>
      </c>
      <c r="ER51" s="3" t="str">
        <f>IF(DJ51="","",SECOND(DJ51))</f>
        <v/>
      </c>
      <c r="ES51" s="4">
        <f>BW51-DJ51</f>
        <v>0</v>
      </c>
      <c r="ET51" s="5">
        <f t="shared" si="14"/>
        <v>0</v>
      </c>
    </row>
    <row r="52" spans="1:150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2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3">
        <f>DAY(DN52)</f>
        <v>0</v>
      </c>
      <c r="EG52" s="3">
        <f>HOUR(DN52)</f>
        <v>0</v>
      </c>
      <c r="EH52" s="3">
        <f>MINUTE(DN52)</f>
        <v>0</v>
      </c>
      <c r="EI52" s="3">
        <f>SECOND(DN52)</f>
        <v>0</v>
      </c>
      <c r="EJ52" s="3" t="str">
        <f>IF(BW52="","",DAY(BW52))</f>
        <v/>
      </c>
      <c r="EK52" s="3" t="str">
        <f>IF(BW52="","",HOUR(BW52))</f>
        <v/>
      </c>
      <c r="EL52" s="3" t="str">
        <f>IF(BW52="","",MINUTE(BW52))</f>
        <v/>
      </c>
      <c r="EM52" s="3" t="str">
        <f>IF(BW52="","",SECOND(BW52))</f>
        <v/>
      </c>
      <c r="EN52" s="4">
        <f t="shared" si="15"/>
        <v>999</v>
      </c>
      <c r="EO52" s="3" t="str">
        <f>IF(DJ52="","",DAY(DJ52))</f>
        <v/>
      </c>
      <c r="EP52" s="3" t="str">
        <f>IF(DJ52="","",HOUR(DJ52))</f>
        <v/>
      </c>
      <c r="EQ52" s="3" t="str">
        <f>IF(DJ52="","",MINUTE(DJ52))</f>
        <v/>
      </c>
      <c r="ER52" s="3" t="str">
        <f>IF(DJ52="","",SECOND(DJ52))</f>
        <v/>
      </c>
      <c r="ES52" s="4">
        <f>BW52-DJ52</f>
        <v>0</v>
      </c>
      <c r="ET52" s="5">
        <f t="shared" si="14"/>
        <v>0</v>
      </c>
    </row>
    <row r="53" spans="1:150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2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3">
        <f>DAY(DN53)</f>
        <v>0</v>
      </c>
      <c r="EG53" s="3">
        <f>HOUR(DN53)</f>
        <v>0</v>
      </c>
      <c r="EH53" s="3">
        <f>MINUTE(DN53)</f>
        <v>0</v>
      </c>
      <c r="EI53" s="3">
        <f>SECOND(DN53)</f>
        <v>0</v>
      </c>
      <c r="EJ53" s="3" t="str">
        <f>IF(BW53="","",DAY(BW53))</f>
        <v/>
      </c>
      <c r="EK53" s="3" t="str">
        <f>IF(BW53="","",HOUR(BW53))</f>
        <v/>
      </c>
      <c r="EL53" s="3" t="str">
        <f>IF(BW53="","",MINUTE(BW53))</f>
        <v/>
      </c>
      <c r="EM53" s="3" t="str">
        <f>IF(BW53="","",SECOND(BW53))</f>
        <v/>
      </c>
      <c r="EN53" s="4">
        <f t="shared" si="15"/>
        <v>999</v>
      </c>
      <c r="EO53" s="3" t="str">
        <f>IF(DJ53="","",DAY(DJ53))</f>
        <v/>
      </c>
      <c r="EP53" s="3" t="str">
        <f>IF(DJ53="","",HOUR(DJ53))</f>
        <v/>
      </c>
      <c r="EQ53" s="3" t="str">
        <f>IF(DJ53="","",MINUTE(DJ53))</f>
        <v/>
      </c>
      <c r="ER53" s="3" t="str">
        <f>IF(DJ53="","",SECOND(DJ53))</f>
        <v/>
      </c>
      <c r="ES53" s="4">
        <f>BW53-DJ53</f>
        <v>0</v>
      </c>
      <c r="ET53" s="5">
        <f t="shared" si="14"/>
        <v>0</v>
      </c>
    </row>
    <row r="54" spans="1:150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2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3">
        <f>DAY(DN54)</f>
        <v>0</v>
      </c>
      <c r="EG54" s="3">
        <f>HOUR(DN54)</f>
        <v>0</v>
      </c>
      <c r="EH54" s="3">
        <f>MINUTE(DN54)</f>
        <v>0</v>
      </c>
      <c r="EI54" s="3">
        <f>SECOND(DN54)</f>
        <v>0</v>
      </c>
      <c r="EJ54" s="3" t="str">
        <f>IF(BW54="","",DAY(BW54))</f>
        <v/>
      </c>
      <c r="EK54" s="3" t="str">
        <f>IF(BW54="","",HOUR(BW54))</f>
        <v/>
      </c>
      <c r="EL54" s="3" t="str">
        <f>IF(BW54="","",MINUTE(BW54))</f>
        <v/>
      </c>
      <c r="EM54" s="3" t="str">
        <f>IF(BW54="","",SECOND(BW54))</f>
        <v/>
      </c>
      <c r="EN54" s="4">
        <f t="shared" si="15"/>
        <v>999</v>
      </c>
      <c r="EO54" s="3" t="str">
        <f>IF(DJ54="","",DAY(DJ54))</f>
        <v/>
      </c>
      <c r="EP54" s="3" t="str">
        <f>IF(DJ54="","",HOUR(DJ54))</f>
        <v/>
      </c>
      <c r="EQ54" s="3" t="str">
        <f>IF(DJ54="","",MINUTE(DJ54))</f>
        <v/>
      </c>
      <c r="ER54" s="3" t="str">
        <f>IF(DJ54="","",SECOND(DJ54))</f>
        <v/>
      </c>
      <c r="ES54" s="4">
        <f>BW54-DJ54</f>
        <v>0</v>
      </c>
      <c r="ET54" s="5">
        <f t="shared" si="14"/>
        <v>0</v>
      </c>
    </row>
    <row r="55" spans="1:150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2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3">
        <f>DAY(DN55)</f>
        <v>0</v>
      </c>
      <c r="EG55" s="3">
        <f>HOUR(DN55)</f>
        <v>0</v>
      </c>
      <c r="EH55" s="3">
        <f>MINUTE(DN55)</f>
        <v>0</v>
      </c>
      <c r="EI55" s="3">
        <f>SECOND(DN55)</f>
        <v>0</v>
      </c>
      <c r="EJ55" s="3" t="str">
        <f>IF(BW55="","",DAY(BW55))</f>
        <v/>
      </c>
      <c r="EK55" s="3" t="str">
        <f>IF(BW55="","",HOUR(BW55))</f>
        <v/>
      </c>
      <c r="EL55" s="3" t="str">
        <f>IF(BW55="","",MINUTE(BW55))</f>
        <v/>
      </c>
      <c r="EM55" s="3" t="str">
        <f>IF(BW55="","",SECOND(BW55))</f>
        <v/>
      </c>
      <c r="EN55" s="4">
        <f t="shared" si="15"/>
        <v>999</v>
      </c>
      <c r="EO55" s="3" t="str">
        <f>IF(DJ55="","",DAY(DJ55))</f>
        <v/>
      </c>
      <c r="EP55" s="3" t="str">
        <f>IF(DJ55="","",HOUR(DJ55))</f>
        <v/>
      </c>
      <c r="EQ55" s="3" t="str">
        <f>IF(DJ55="","",MINUTE(DJ55))</f>
        <v/>
      </c>
      <c r="ER55" s="3" t="str">
        <f>IF(DJ55="","",SECOND(DJ55))</f>
        <v/>
      </c>
      <c r="ES55" s="4">
        <f>BW55-DJ55</f>
        <v>0</v>
      </c>
      <c r="ET55" s="5">
        <f t="shared" si="14"/>
        <v>0</v>
      </c>
    </row>
    <row r="56" spans="1:150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2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3">
        <f>DAY(DN56)</f>
        <v>0</v>
      </c>
      <c r="EG56" s="3">
        <f>HOUR(DN56)</f>
        <v>0</v>
      </c>
      <c r="EH56" s="3">
        <f>MINUTE(DN56)</f>
        <v>0</v>
      </c>
      <c r="EI56" s="3">
        <f>SECOND(DN56)</f>
        <v>0</v>
      </c>
      <c r="EJ56" s="3" t="str">
        <f>IF(BW56="","",DAY(BW56))</f>
        <v/>
      </c>
      <c r="EK56" s="3" t="str">
        <f>IF(BW56="","",HOUR(BW56))</f>
        <v/>
      </c>
      <c r="EL56" s="3" t="str">
        <f>IF(BW56="","",MINUTE(BW56))</f>
        <v/>
      </c>
      <c r="EM56" s="3" t="str">
        <f>IF(BW56="","",SECOND(BW56))</f>
        <v/>
      </c>
      <c r="EN56" s="4">
        <f t="shared" si="15"/>
        <v>999</v>
      </c>
      <c r="EO56" s="3" t="str">
        <f>IF(DJ56="","",DAY(DJ56))</f>
        <v/>
      </c>
      <c r="EP56" s="3" t="str">
        <f>IF(DJ56="","",HOUR(DJ56))</f>
        <v/>
      </c>
      <c r="EQ56" s="3" t="str">
        <f>IF(DJ56="","",MINUTE(DJ56))</f>
        <v/>
      </c>
      <c r="ER56" s="3" t="str">
        <f>IF(DJ56="","",SECOND(DJ56))</f>
        <v/>
      </c>
      <c r="ES56" s="4">
        <f>BW56-DJ56</f>
        <v>0</v>
      </c>
      <c r="ET56" s="5">
        <f t="shared" si="14"/>
        <v>0</v>
      </c>
    </row>
    <row r="57" spans="1:150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2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3">
        <f>DAY(DN57)</f>
        <v>0</v>
      </c>
      <c r="EG57" s="3">
        <f>HOUR(DN57)</f>
        <v>0</v>
      </c>
      <c r="EH57" s="3">
        <f>MINUTE(DN57)</f>
        <v>0</v>
      </c>
      <c r="EI57" s="3">
        <f>SECOND(DN57)</f>
        <v>0</v>
      </c>
      <c r="EJ57" s="3" t="str">
        <f>IF(BW57="","",DAY(BW57))</f>
        <v/>
      </c>
      <c r="EK57" s="3" t="str">
        <f>IF(BW57="","",HOUR(BW57))</f>
        <v/>
      </c>
      <c r="EL57" s="3" t="str">
        <f>IF(BW57="","",MINUTE(BW57))</f>
        <v/>
      </c>
      <c r="EM57" s="3" t="str">
        <f>IF(BW57="","",SECOND(BW57))</f>
        <v/>
      </c>
      <c r="EN57" s="4">
        <f t="shared" si="15"/>
        <v>999</v>
      </c>
      <c r="EO57" s="3" t="str">
        <f>IF(DJ57="","",DAY(DJ57))</f>
        <v/>
      </c>
      <c r="EP57" s="3" t="str">
        <f>IF(DJ57="","",HOUR(DJ57))</f>
        <v/>
      </c>
      <c r="EQ57" s="3" t="str">
        <f>IF(DJ57="","",MINUTE(DJ57))</f>
        <v/>
      </c>
      <c r="ER57" s="3" t="str">
        <f>IF(DJ57="","",SECOND(DJ57))</f>
        <v/>
      </c>
      <c r="ES57" s="4">
        <f>BW57-DJ57</f>
        <v>0</v>
      </c>
      <c r="ET57" s="5">
        <f t="shared" si="14"/>
        <v>0</v>
      </c>
    </row>
    <row r="58" spans="1:150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2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3">
        <f>DAY(DN58)</f>
        <v>0</v>
      </c>
      <c r="EG58" s="3">
        <f>HOUR(DN58)</f>
        <v>0</v>
      </c>
      <c r="EH58" s="3">
        <f>MINUTE(DN58)</f>
        <v>0</v>
      </c>
      <c r="EI58" s="3">
        <f>SECOND(DN58)</f>
        <v>0</v>
      </c>
      <c r="EJ58" s="3" t="str">
        <f>IF(BW58="","",DAY(BW58))</f>
        <v/>
      </c>
      <c r="EK58" s="3" t="str">
        <f>IF(BW58="","",HOUR(BW58))</f>
        <v/>
      </c>
      <c r="EL58" s="3" t="str">
        <f>IF(BW58="","",MINUTE(BW58))</f>
        <v/>
      </c>
      <c r="EM58" s="3" t="str">
        <f>IF(BW58="","",SECOND(BW58))</f>
        <v/>
      </c>
      <c r="EN58" s="4">
        <f t="shared" si="15"/>
        <v>999</v>
      </c>
      <c r="EO58" s="3" t="str">
        <f>IF(DJ58="","",DAY(DJ58))</f>
        <v/>
      </c>
      <c r="EP58" s="3" t="str">
        <f>IF(DJ58="","",HOUR(DJ58))</f>
        <v/>
      </c>
      <c r="EQ58" s="3" t="str">
        <f>IF(DJ58="","",MINUTE(DJ58))</f>
        <v/>
      </c>
      <c r="ER58" s="3" t="str">
        <f>IF(DJ58="","",SECOND(DJ58))</f>
        <v/>
      </c>
      <c r="ES58" s="4">
        <f>BW58-DJ58</f>
        <v>0</v>
      </c>
      <c r="ET58" s="5">
        <f t="shared" si="14"/>
        <v>0</v>
      </c>
    </row>
    <row r="59" spans="1:150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2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3">
        <f>DAY(DN59)</f>
        <v>0</v>
      </c>
      <c r="EG59" s="3">
        <f>HOUR(DN59)</f>
        <v>0</v>
      </c>
      <c r="EH59" s="3">
        <f>MINUTE(DN59)</f>
        <v>0</v>
      </c>
      <c r="EI59" s="3">
        <f>SECOND(DN59)</f>
        <v>0</v>
      </c>
      <c r="EJ59" s="3" t="str">
        <f>IF(BW59="","",DAY(BW59))</f>
        <v/>
      </c>
      <c r="EK59" s="3" t="str">
        <f>IF(BW59="","",HOUR(BW59))</f>
        <v/>
      </c>
      <c r="EL59" s="3" t="str">
        <f>IF(BW59="","",MINUTE(BW59))</f>
        <v/>
      </c>
      <c r="EM59" s="3" t="str">
        <f>IF(BW59="","",SECOND(BW59))</f>
        <v/>
      </c>
      <c r="EN59" s="4">
        <f t="shared" si="15"/>
        <v>999</v>
      </c>
      <c r="EO59" s="3" t="str">
        <f>IF(DJ59="","",DAY(DJ59))</f>
        <v/>
      </c>
      <c r="EP59" s="3" t="str">
        <f>IF(DJ59="","",HOUR(DJ59))</f>
        <v/>
      </c>
      <c r="EQ59" s="3" t="str">
        <f>IF(DJ59="","",MINUTE(DJ59))</f>
        <v/>
      </c>
      <c r="ER59" s="3" t="str">
        <f>IF(DJ59="","",SECOND(DJ59))</f>
        <v/>
      </c>
      <c r="ES59" s="4">
        <f>BW59-DJ59</f>
        <v>0</v>
      </c>
      <c r="ET59" s="5">
        <f t="shared" si="14"/>
        <v>0</v>
      </c>
    </row>
    <row r="60" spans="1:150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2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3">
        <f>DAY(DN60)</f>
        <v>0</v>
      </c>
      <c r="EG60" s="3">
        <f>HOUR(DN60)</f>
        <v>0</v>
      </c>
      <c r="EH60" s="3">
        <f>MINUTE(DN60)</f>
        <v>0</v>
      </c>
      <c r="EI60" s="3">
        <f>SECOND(DN60)</f>
        <v>0</v>
      </c>
      <c r="EJ60" s="3" t="str">
        <f>IF(BW60="","",DAY(BW60))</f>
        <v/>
      </c>
      <c r="EK60" s="3" t="str">
        <f>IF(BW60="","",HOUR(BW60))</f>
        <v/>
      </c>
      <c r="EL60" s="3" t="str">
        <f>IF(BW60="","",MINUTE(BW60))</f>
        <v/>
      </c>
      <c r="EM60" s="3" t="str">
        <f>IF(BW60="","",SECOND(BW60))</f>
        <v/>
      </c>
      <c r="EN60" s="4">
        <f t="shared" si="15"/>
        <v>999</v>
      </c>
      <c r="EO60" s="3" t="str">
        <f>IF(DJ60="","",DAY(DJ60))</f>
        <v/>
      </c>
      <c r="EP60" s="3" t="str">
        <f>IF(DJ60="","",HOUR(DJ60))</f>
        <v/>
      </c>
      <c r="EQ60" s="3" t="str">
        <f>IF(DJ60="","",MINUTE(DJ60))</f>
        <v/>
      </c>
      <c r="ER60" s="3" t="str">
        <f>IF(DJ60="","",SECOND(DJ60))</f>
        <v/>
      </c>
      <c r="ES60" s="4">
        <f>BW60-DJ60</f>
        <v>0</v>
      </c>
      <c r="ET60" s="5">
        <f t="shared" si="14"/>
        <v>0</v>
      </c>
    </row>
    <row r="61" spans="1:150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2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3">
        <f>DAY(DN61)</f>
        <v>0</v>
      </c>
      <c r="EG61" s="3">
        <f>HOUR(DN61)</f>
        <v>0</v>
      </c>
      <c r="EH61" s="3">
        <f>MINUTE(DN61)</f>
        <v>0</v>
      </c>
      <c r="EI61" s="3">
        <f>SECOND(DN61)</f>
        <v>0</v>
      </c>
      <c r="EJ61" s="3" t="str">
        <f>IF(BW61="","",DAY(BW61))</f>
        <v/>
      </c>
      <c r="EK61" s="3" t="str">
        <f>IF(BW61="","",HOUR(BW61))</f>
        <v/>
      </c>
      <c r="EL61" s="3" t="str">
        <f>IF(BW61="","",MINUTE(BW61))</f>
        <v/>
      </c>
      <c r="EM61" s="3" t="str">
        <f>IF(BW61="","",SECOND(BW61))</f>
        <v/>
      </c>
      <c r="EN61" s="4">
        <f t="shared" si="15"/>
        <v>999</v>
      </c>
      <c r="EO61" s="3" t="str">
        <f>IF(DJ61="","",DAY(DJ61))</f>
        <v/>
      </c>
      <c r="EP61" s="3" t="str">
        <f>IF(DJ61="","",HOUR(DJ61))</f>
        <v/>
      </c>
      <c r="EQ61" s="3" t="str">
        <f>IF(DJ61="","",MINUTE(DJ61))</f>
        <v/>
      </c>
      <c r="ER61" s="3" t="str">
        <f>IF(DJ61="","",SECOND(DJ61))</f>
        <v/>
      </c>
      <c r="ES61" s="4">
        <f>BW61-DJ61</f>
        <v>0</v>
      </c>
      <c r="ET61" s="5">
        <f t="shared" si="14"/>
        <v>0</v>
      </c>
    </row>
    <row r="62" spans="1:150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2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3">
        <f>DAY(DN62)</f>
        <v>0</v>
      </c>
      <c r="EG62" s="3">
        <f>HOUR(DN62)</f>
        <v>0</v>
      </c>
      <c r="EH62" s="3">
        <f>MINUTE(DN62)</f>
        <v>0</v>
      </c>
      <c r="EI62" s="3">
        <f>SECOND(DN62)</f>
        <v>0</v>
      </c>
      <c r="EJ62" s="3" t="str">
        <f>IF(BW62="","",DAY(BW62))</f>
        <v/>
      </c>
      <c r="EK62" s="3" t="str">
        <f>IF(BW62="","",HOUR(BW62))</f>
        <v/>
      </c>
      <c r="EL62" s="3" t="str">
        <f>IF(BW62="","",MINUTE(BW62))</f>
        <v/>
      </c>
      <c r="EM62" s="3" t="str">
        <f>IF(BW62="","",SECOND(BW62))</f>
        <v/>
      </c>
      <c r="EN62" s="4">
        <f t="shared" si="15"/>
        <v>999</v>
      </c>
      <c r="EO62" s="3" t="str">
        <f>IF(DJ62="","",DAY(DJ62))</f>
        <v/>
      </c>
      <c r="EP62" s="3" t="str">
        <f>IF(DJ62="","",HOUR(DJ62))</f>
        <v/>
      </c>
      <c r="EQ62" s="3" t="str">
        <f>IF(DJ62="","",MINUTE(DJ62))</f>
        <v/>
      </c>
      <c r="ER62" s="3" t="str">
        <f>IF(DJ62="","",SECOND(DJ62))</f>
        <v/>
      </c>
      <c r="ES62" s="4">
        <f>BW62-DJ62</f>
        <v>0</v>
      </c>
      <c r="ET62" s="5">
        <f t="shared" si="14"/>
        <v>0</v>
      </c>
    </row>
    <row r="63" spans="1:150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2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3">
        <f>DAY(DN63)</f>
        <v>0</v>
      </c>
      <c r="EG63" s="3">
        <f>HOUR(DN63)</f>
        <v>0</v>
      </c>
      <c r="EH63" s="3">
        <f>MINUTE(DN63)</f>
        <v>0</v>
      </c>
      <c r="EI63" s="3">
        <f>SECOND(DN63)</f>
        <v>0</v>
      </c>
      <c r="EJ63" s="3" t="str">
        <f>IF(BW63="","",DAY(BW63))</f>
        <v/>
      </c>
      <c r="EK63" s="3" t="str">
        <f>IF(BW63="","",HOUR(BW63))</f>
        <v/>
      </c>
      <c r="EL63" s="3" t="str">
        <f>IF(BW63="","",MINUTE(BW63))</f>
        <v/>
      </c>
      <c r="EM63" s="3" t="str">
        <f>IF(BW63="","",SECOND(BW63))</f>
        <v/>
      </c>
      <c r="EN63" s="4">
        <f t="shared" si="15"/>
        <v>999</v>
      </c>
      <c r="EO63" s="3" t="str">
        <f>IF(DJ63="","",DAY(DJ63))</f>
        <v/>
      </c>
      <c r="EP63" s="3" t="str">
        <f>IF(DJ63="","",HOUR(DJ63))</f>
        <v/>
      </c>
      <c r="EQ63" s="3" t="str">
        <f>IF(DJ63="","",MINUTE(DJ63))</f>
        <v/>
      </c>
      <c r="ER63" s="3" t="str">
        <f>IF(DJ63="","",SECOND(DJ63))</f>
        <v/>
      </c>
      <c r="ES63" s="4">
        <f>BW63-DJ63</f>
        <v>0</v>
      </c>
      <c r="ET63" s="5">
        <f t="shared" si="14"/>
        <v>0</v>
      </c>
    </row>
    <row r="64" spans="1:150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2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3">
        <f>DAY(DN64)</f>
        <v>0</v>
      </c>
      <c r="EG64" s="3">
        <f>HOUR(DN64)</f>
        <v>0</v>
      </c>
      <c r="EH64" s="3">
        <f>MINUTE(DN64)</f>
        <v>0</v>
      </c>
      <c r="EI64" s="3">
        <f>SECOND(DN64)</f>
        <v>0</v>
      </c>
      <c r="EJ64" s="3" t="str">
        <f>IF(BW64="","",DAY(BW64))</f>
        <v/>
      </c>
      <c r="EK64" s="3" t="str">
        <f>IF(BW64="","",HOUR(BW64))</f>
        <v/>
      </c>
      <c r="EL64" s="3" t="str">
        <f>IF(BW64="","",MINUTE(BW64))</f>
        <v/>
      </c>
      <c r="EM64" s="3" t="str">
        <f>IF(BW64="","",SECOND(BW64))</f>
        <v/>
      </c>
      <c r="EN64" s="4">
        <f t="shared" si="15"/>
        <v>999</v>
      </c>
      <c r="EO64" s="3" t="str">
        <f>IF(DJ64="","",DAY(DJ64))</f>
        <v/>
      </c>
      <c r="EP64" s="3" t="str">
        <f>IF(DJ64="","",HOUR(DJ64))</f>
        <v/>
      </c>
      <c r="EQ64" s="3" t="str">
        <f>IF(DJ64="","",MINUTE(DJ64))</f>
        <v/>
      </c>
      <c r="ER64" s="3" t="str">
        <f>IF(DJ64="","",SECOND(DJ64))</f>
        <v/>
      </c>
      <c r="ES64" s="4">
        <f>BW64-DJ64</f>
        <v>0</v>
      </c>
      <c r="ET64" s="5">
        <f t="shared" si="14"/>
        <v>0</v>
      </c>
    </row>
    <row r="65" spans="1:150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2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3">
        <f>DAY(DN65)</f>
        <v>0</v>
      </c>
      <c r="EG65" s="3">
        <f>HOUR(DN65)</f>
        <v>0</v>
      </c>
      <c r="EH65" s="3">
        <f>MINUTE(DN65)</f>
        <v>0</v>
      </c>
      <c r="EI65" s="3">
        <f>SECOND(DN65)</f>
        <v>0</v>
      </c>
      <c r="EJ65" s="3" t="str">
        <f>IF(BW65="","",DAY(BW65))</f>
        <v/>
      </c>
      <c r="EK65" s="3" t="str">
        <f>IF(BW65="","",HOUR(BW65))</f>
        <v/>
      </c>
      <c r="EL65" s="3" t="str">
        <f>IF(BW65="","",MINUTE(BW65))</f>
        <v/>
      </c>
      <c r="EM65" s="3" t="str">
        <f>IF(BW65="","",SECOND(BW65))</f>
        <v/>
      </c>
      <c r="EN65" s="4">
        <f t="shared" si="15"/>
        <v>999</v>
      </c>
      <c r="EO65" s="3" t="str">
        <f>IF(DJ65="","",DAY(DJ65))</f>
        <v/>
      </c>
      <c r="EP65" s="3" t="str">
        <f>IF(DJ65="","",HOUR(DJ65))</f>
        <v/>
      </c>
      <c r="EQ65" s="3" t="str">
        <f>IF(DJ65="","",MINUTE(DJ65))</f>
        <v/>
      </c>
      <c r="ER65" s="3" t="str">
        <f>IF(DJ65="","",SECOND(DJ65))</f>
        <v/>
      </c>
      <c r="ES65" s="4">
        <f>BW65-DJ65</f>
        <v>0</v>
      </c>
      <c r="ET65" s="5">
        <f t="shared" si="14"/>
        <v>0</v>
      </c>
    </row>
    <row r="66" spans="1:150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2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3">
        <f>DAY(DN66)</f>
        <v>0</v>
      </c>
      <c r="EG66" s="3">
        <f>HOUR(DN66)</f>
        <v>0</v>
      </c>
      <c r="EH66" s="3">
        <f>MINUTE(DN66)</f>
        <v>0</v>
      </c>
      <c r="EI66" s="3">
        <f>SECOND(DN66)</f>
        <v>0</v>
      </c>
      <c r="EJ66" s="3" t="str">
        <f>IF(BW66="","",DAY(BW66))</f>
        <v/>
      </c>
      <c r="EK66" s="3" t="str">
        <f>IF(BW66="","",HOUR(BW66))</f>
        <v/>
      </c>
      <c r="EL66" s="3" t="str">
        <f>IF(BW66="","",MINUTE(BW66))</f>
        <v/>
      </c>
      <c r="EM66" s="3" t="str">
        <f>IF(BW66="","",SECOND(BW66))</f>
        <v/>
      </c>
      <c r="EN66" s="4">
        <f t="shared" si="15"/>
        <v>999</v>
      </c>
      <c r="EO66" s="3" t="str">
        <f>IF(DJ66="","",DAY(DJ66))</f>
        <v/>
      </c>
      <c r="EP66" s="3" t="str">
        <f>IF(DJ66="","",HOUR(DJ66))</f>
        <v/>
      </c>
      <c r="EQ66" s="3" t="str">
        <f>IF(DJ66="","",MINUTE(DJ66))</f>
        <v/>
      </c>
      <c r="ER66" s="3" t="str">
        <f>IF(DJ66="","",SECOND(DJ66))</f>
        <v/>
      </c>
      <c r="ES66" s="4">
        <f>BW66-DJ66</f>
        <v>0</v>
      </c>
      <c r="ET66" s="5">
        <f t="shared" ref="ET66:ET129" si="16">ROUND(ES66*60*60*24/60,1)</f>
        <v>0</v>
      </c>
    </row>
    <row r="67" spans="1:150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2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3">
        <f>DAY(DN67)</f>
        <v>0</v>
      </c>
      <c r="EG67" s="3">
        <f>HOUR(DN67)</f>
        <v>0</v>
      </c>
      <c r="EH67" s="3">
        <f>MINUTE(DN67)</f>
        <v>0</v>
      </c>
      <c r="EI67" s="3">
        <f>SECOND(DN67)</f>
        <v>0</v>
      </c>
      <c r="EJ67" s="3" t="str">
        <f>IF(BW67="","",DAY(BW67))</f>
        <v/>
      </c>
      <c r="EK67" s="3" t="str">
        <f>IF(BW67="","",HOUR(BW67))</f>
        <v/>
      </c>
      <c r="EL67" s="3" t="str">
        <f>IF(BW67="","",MINUTE(BW67))</f>
        <v/>
      </c>
      <c r="EM67" s="3" t="str">
        <f>IF(BW67="","",SECOND(BW67))</f>
        <v/>
      </c>
      <c r="EN67" s="4">
        <f t="shared" si="15"/>
        <v>999</v>
      </c>
      <c r="EO67" s="3" t="str">
        <f>IF(DJ67="","",DAY(DJ67))</f>
        <v/>
      </c>
      <c r="EP67" s="3" t="str">
        <f>IF(DJ67="","",HOUR(DJ67))</f>
        <v/>
      </c>
      <c r="EQ67" s="3" t="str">
        <f>IF(DJ67="","",MINUTE(DJ67))</f>
        <v/>
      </c>
      <c r="ER67" s="3" t="str">
        <f>IF(DJ67="","",SECOND(DJ67))</f>
        <v/>
      </c>
      <c r="ES67" s="4">
        <f>BW67-DJ67</f>
        <v>0</v>
      </c>
      <c r="ET67" s="5">
        <f t="shared" si="16"/>
        <v>0</v>
      </c>
    </row>
    <row r="68" spans="1:150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2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3">
        <f>DAY(DN68)</f>
        <v>0</v>
      </c>
      <c r="EG68" s="3">
        <f>HOUR(DN68)</f>
        <v>0</v>
      </c>
      <c r="EH68" s="3">
        <f>MINUTE(DN68)</f>
        <v>0</v>
      </c>
      <c r="EI68" s="3">
        <f>SECOND(DN68)</f>
        <v>0</v>
      </c>
      <c r="EJ68" s="3" t="str">
        <f>IF(BW68="","",DAY(BW68))</f>
        <v/>
      </c>
      <c r="EK68" s="3" t="str">
        <f>IF(BW68="","",HOUR(BW68))</f>
        <v/>
      </c>
      <c r="EL68" s="3" t="str">
        <f>IF(BW68="","",MINUTE(BW68))</f>
        <v/>
      </c>
      <c r="EM68" s="3" t="str">
        <f>IF(BW68="","",SECOND(BW68))</f>
        <v/>
      </c>
      <c r="EN68" s="4">
        <f t="shared" si="15"/>
        <v>999</v>
      </c>
      <c r="EO68" s="3" t="str">
        <f>IF(DJ68="","",DAY(DJ68))</f>
        <v/>
      </c>
      <c r="EP68" s="3" t="str">
        <f>IF(DJ68="","",HOUR(DJ68))</f>
        <v/>
      </c>
      <c r="EQ68" s="3" t="str">
        <f>IF(DJ68="","",MINUTE(DJ68))</f>
        <v/>
      </c>
      <c r="ER68" s="3" t="str">
        <f>IF(DJ68="","",SECOND(DJ68))</f>
        <v/>
      </c>
      <c r="ES68" s="4">
        <f>BW68-DJ68</f>
        <v>0</v>
      </c>
      <c r="ET68" s="5">
        <f t="shared" si="16"/>
        <v>0</v>
      </c>
    </row>
    <row r="69" spans="1:150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2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3">
        <f>DAY(DN69)</f>
        <v>0</v>
      </c>
      <c r="EG69" s="3">
        <f>HOUR(DN69)</f>
        <v>0</v>
      </c>
      <c r="EH69" s="3">
        <f>MINUTE(DN69)</f>
        <v>0</v>
      </c>
      <c r="EI69" s="3">
        <f>SECOND(DN69)</f>
        <v>0</v>
      </c>
      <c r="EJ69" s="3" t="str">
        <f>IF(BW69="","",DAY(BW69))</f>
        <v/>
      </c>
      <c r="EK69" s="3" t="str">
        <f>IF(BW69="","",HOUR(BW69))</f>
        <v/>
      </c>
      <c r="EL69" s="3" t="str">
        <f>IF(BW69="","",MINUTE(BW69))</f>
        <v/>
      </c>
      <c r="EM69" s="3" t="str">
        <f>IF(BW69="","",SECOND(BW69))</f>
        <v/>
      </c>
      <c r="EN69" s="4">
        <f t="shared" si="15"/>
        <v>999</v>
      </c>
      <c r="EO69" s="3" t="str">
        <f>IF(DJ69="","",DAY(DJ69))</f>
        <v/>
      </c>
      <c r="EP69" s="3" t="str">
        <f>IF(DJ69="","",HOUR(DJ69))</f>
        <v/>
      </c>
      <c r="EQ69" s="3" t="str">
        <f>IF(DJ69="","",MINUTE(DJ69))</f>
        <v/>
      </c>
      <c r="ER69" s="3" t="str">
        <f>IF(DJ69="","",SECOND(DJ69))</f>
        <v/>
      </c>
      <c r="ES69" s="4">
        <f>BW69-DJ69</f>
        <v>0</v>
      </c>
      <c r="ET69" s="5">
        <f t="shared" si="16"/>
        <v>0</v>
      </c>
    </row>
    <row r="70" spans="1:150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2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3">
        <f>DAY(DN70)</f>
        <v>0</v>
      </c>
      <c r="EG70" s="3">
        <f>HOUR(DN70)</f>
        <v>0</v>
      </c>
      <c r="EH70" s="3">
        <f>MINUTE(DN70)</f>
        <v>0</v>
      </c>
      <c r="EI70" s="3">
        <f>SECOND(DN70)</f>
        <v>0</v>
      </c>
      <c r="EJ70" s="3" t="str">
        <f>IF(BW70="","",DAY(BW70))</f>
        <v/>
      </c>
      <c r="EK70" s="3" t="str">
        <f>IF(BW70="","",HOUR(BW70))</f>
        <v/>
      </c>
      <c r="EL70" s="3" t="str">
        <f>IF(BW70="","",MINUTE(BW70))</f>
        <v/>
      </c>
      <c r="EM70" s="3" t="str">
        <f>IF(BW70="","",SECOND(BW70))</f>
        <v/>
      </c>
      <c r="EN70" s="4">
        <f t="shared" si="15"/>
        <v>999</v>
      </c>
      <c r="EO70" s="3" t="str">
        <f>IF(DJ70="","",DAY(DJ70))</f>
        <v/>
      </c>
      <c r="EP70" s="3" t="str">
        <f>IF(DJ70="","",HOUR(DJ70))</f>
        <v/>
      </c>
      <c r="EQ70" s="3" t="str">
        <f>IF(DJ70="","",MINUTE(DJ70))</f>
        <v/>
      </c>
      <c r="ER70" s="3" t="str">
        <f>IF(DJ70="","",SECOND(DJ70))</f>
        <v/>
      </c>
      <c r="ES70" s="4">
        <f>BW70-DJ70</f>
        <v>0</v>
      </c>
      <c r="ET70" s="5">
        <f t="shared" si="16"/>
        <v>0</v>
      </c>
    </row>
    <row r="71" spans="1:150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2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3">
        <f>DAY(DN71)</f>
        <v>0</v>
      </c>
      <c r="EG71" s="3">
        <f>HOUR(DN71)</f>
        <v>0</v>
      </c>
      <c r="EH71" s="3">
        <f>MINUTE(DN71)</f>
        <v>0</v>
      </c>
      <c r="EI71" s="3">
        <f>SECOND(DN71)</f>
        <v>0</v>
      </c>
      <c r="EJ71" s="3" t="str">
        <f>IF(BW71="","",DAY(BW71))</f>
        <v/>
      </c>
      <c r="EK71" s="3" t="str">
        <f>IF(BW71="","",HOUR(BW71))</f>
        <v/>
      </c>
      <c r="EL71" s="3" t="str">
        <f>IF(BW71="","",MINUTE(BW71))</f>
        <v/>
      </c>
      <c r="EM71" s="3" t="str">
        <f>IF(BW71="","",SECOND(BW71))</f>
        <v/>
      </c>
      <c r="EN71" s="4">
        <f t="shared" si="15"/>
        <v>999</v>
      </c>
      <c r="EO71" s="3" t="str">
        <f>IF(DJ71="","",DAY(DJ71))</f>
        <v/>
      </c>
      <c r="EP71" s="3" t="str">
        <f>IF(DJ71="","",HOUR(DJ71))</f>
        <v/>
      </c>
      <c r="EQ71" s="3" t="str">
        <f>IF(DJ71="","",MINUTE(DJ71))</f>
        <v/>
      </c>
      <c r="ER71" s="3" t="str">
        <f>IF(DJ71="","",SECOND(DJ71))</f>
        <v/>
      </c>
      <c r="ES71" s="4">
        <f>BW71-DJ71</f>
        <v>0</v>
      </c>
      <c r="ET71" s="5">
        <f t="shared" si="16"/>
        <v>0</v>
      </c>
    </row>
    <row r="72" spans="1:150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2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3">
        <f>DAY(DN72)</f>
        <v>0</v>
      </c>
      <c r="EG72" s="3">
        <f>HOUR(DN72)</f>
        <v>0</v>
      </c>
      <c r="EH72" s="3">
        <f>MINUTE(DN72)</f>
        <v>0</v>
      </c>
      <c r="EI72" s="3">
        <f>SECOND(DN72)</f>
        <v>0</v>
      </c>
      <c r="EJ72" s="3" t="str">
        <f>IF(BW72="","",DAY(BW72))</f>
        <v/>
      </c>
      <c r="EK72" s="3" t="str">
        <f>IF(BW72="","",HOUR(BW72))</f>
        <v/>
      </c>
      <c r="EL72" s="3" t="str">
        <f>IF(BW72="","",MINUTE(BW72))</f>
        <v/>
      </c>
      <c r="EM72" s="3" t="str">
        <f>IF(BW72="","",SECOND(BW72))</f>
        <v/>
      </c>
      <c r="EN72" s="4">
        <f t="shared" si="15"/>
        <v>999</v>
      </c>
      <c r="EO72" s="3" t="str">
        <f>IF(DJ72="","",DAY(DJ72))</f>
        <v/>
      </c>
      <c r="EP72" s="3" t="str">
        <f>IF(DJ72="","",HOUR(DJ72))</f>
        <v/>
      </c>
      <c r="EQ72" s="3" t="str">
        <f>IF(DJ72="","",MINUTE(DJ72))</f>
        <v/>
      </c>
      <c r="ER72" s="3" t="str">
        <f>IF(DJ72="","",SECOND(DJ72))</f>
        <v/>
      </c>
      <c r="ES72" s="4">
        <f>BW72-DJ72</f>
        <v>0</v>
      </c>
      <c r="ET72" s="5">
        <f t="shared" si="16"/>
        <v>0</v>
      </c>
    </row>
    <row r="73" spans="1:150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2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3">
        <f>DAY(DN73)</f>
        <v>0</v>
      </c>
      <c r="EG73" s="3">
        <f>HOUR(DN73)</f>
        <v>0</v>
      </c>
      <c r="EH73" s="3">
        <f>MINUTE(DN73)</f>
        <v>0</v>
      </c>
      <c r="EI73" s="3">
        <f>SECOND(DN73)</f>
        <v>0</v>
      </c>
      <c r="EJ73" s="3" t="str">
        <f>IF(BW73="","",DAY(BW73))</f>
        <v/>
      </c>
      <c r="EK73" s="3" t="str">
        <f>IF(BW73="","",HOUR(BW73))</f>
        <v/>
      </c>
      <c r="EL73" s="3" t="str">
        <f>IF(BW73="","",MINUTE(BW73))</f>
        <v/>
      </c>
      <c r="EM73" s="3" t="str">
        <f>IF(BW73="","",SECOND(BW73))</f>
        <v/>
      </c>
      <c r="EN73" s="4">
        <f t="shared" si="15"/>
        <v>999</v>
      </c>
      <c r="EO73" s="3" t="str">
        <f>IF(DJ73="","",DAY(DJ73))</f>
        <v/>
      </c>
      <c r="EP73" s="3" t="str">
        <f>IF(DJ73="","",HOUR(DJ73))</f>
        <v/>
      </c>
      <c r="EQ73" s="3" t="str">
        <f>IF(DJ73="","",MINUTE(DJ73))</f>
        <v/>
      </c>
      <c r="ER73" s="3" t="str">
        <f>IF(DJ73="","",SECOND(DJ73))</f>
        <v/>
      </c>
      <c r="ES73" s="4">
        <f>BW73-DJ73</f>
        <v>0</v>
      </c>
      <c r="ET73" s="5">
        <f t="shared" si="16"/>
        <v>0</v>
      </c>
    </row>
    <row r="74" spans="1:150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2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3">
        <f>DAY(DN74)</f>
        <v>0</v>
      </c>
      <c r="EG74" s="3">
        <f>HOUR(DN74)</f>
        <v>0</v>
      </c>
      <c r="EH74" s="3">
        <f>MINUTE(DN74)</f>
        <v>0</v>
      </c>
      <c r="EI74" s="3">
        <f>SECOND(DN74)</f>
        <v>0</v>
      </c>
      <c r="EJ74" s="3" t="str">
        <f>IF(BW74="","",DAY(BW74))</f>
        <v/>
      </c>
      <c r="EK74" s="3" t="str">
        <f>IF(BW74="","",HOUR(BW74))</f>
        <v/>
      </c>
      <c r="EL74" s="3" t="str">
        <f>IF(BW74="","",MINUTE(BW74))</f>
        <v/>
      </c>
      <c r="EM74" s="3" t="str">
        <f>IF(BW74="","",SECOND(BW74))</f>
        <v/>
      </c>
      <c r="EN74" s="4">
        <f t="shared" si="15"/>
        <v>999</v>
      </c>
      <c r="EO74" s="3" t="str">
        <f>IF(DJ74="","",DAY(DJ74))</f>
        <v/>
      </c>
      <c r="EP74" s="3" t="str">
        <f>IF(DJ74="","",HOUR(DJ74))</f>
        <v/>
      </c>
      <c r="EQ74" s="3" t="str">
        <f>IF(DJ74="","",MINUTE(DJ74))</f>
        <v/>
      </c>
      <c r="ER74" s="3" t="str">
        <f>IF(DJ74="","",SECOND(DJ74))</f>
        <v/>
      </c>
      <c r="ES74" s="4">
        <f>BW74-DJ74</f>
        <v>0</v>
      </c>
      <c r="ET74" s="5">
        <f t="shared" si="16"/>
        <v>0</v>
      </c>
    </row>
    <row r="75" spans="1:150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2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3">
        <f>DAY(DN75)</f>
        <v>0</v>
      </c>
      <c r="EG75" s="3">
        <f>HOUR(DN75)</f>
        <v>0</v>
      </c>
      <c r="EH75" s="3">
        <f>MINUTE(DN75)</f>
        <v>0</v>
      </c>
      <c r="EI75" s="3">
        <f>SECOND(DN75)</f>
        <v>0</v>
      </c>
      <c r="EJ75" s="3" t="str">
        <f>IF(BW75="","",DAY(BW75))</f>
        <v/>
      </c>
      <c r="EK75" s="3" t="str">
        <f>IF(BW75="","",HOUR(BW75))</f>
        <v/>
      </c>
      <c r="EL75" s="3" t="str">
        <f>IF(BW75="","",MINUTE(BW75))</f>
        <v/>
      </c>
      <c r="EM75" s="3" t="str">
        <f>IF(BW75="","",SECOND(BW75))</f>
        <v/>
      </c>
      <c r="EN75" s="4">
        <f t="shared" si="15"/>
        <v>999</v>
      </c>
      <c r="EO75" s="3" t="str">
        <f>IF(DJ75="","",DAY(DJ75))</f>
        <v/>
      </c>
      <c r="EP75" s="3" t="str">
        <f>IF(DJ75="","",HOUR(DJ75))</f>
        <v/>
      </c>
      <c r="EQ75" s="3" t="str">
        <f>IF(DJ75="","",MINUTE(DJ75))</f>
        <v/>
      </c>
      <c r="ER75" s="3" t="str">
        <f>IF(DJ75="","",SECOND(DJ75))</f>
        <v/>
      </c>
      <c r="ES75" s="4">
        <f>BW75-DJ75</f>
        <v>0</v>
      </c>
      <c r="ET75" s="5">
        <f t="shared" si="16"/>
        <v>0</v>
      </c>
    </row>
    <row r="76" spans="1:150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2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3">
        <f>DAY(DN76)</f>
        <v>0</v>
      </c>
      <c r="EG76" s="3">
        <f>HOUR(DN76)</f>
        <v>0</v>
      </c>
      <c r="EH76" s="3">
        <f>MINUTE(DN76)</f>
        <v>0</v>
      </c>
      <c r="EI76" s="3">
        <f>SECOND(DN76)</f>
        <v>0</v>
      </c>
      <c r="EJ76" s="3" t="str">
        <f>IF(BW76="","",DAY(BW76))</f>
        <v/>
      </c>
      <c r="EK76" s="3" t="str">
        <f>IF(BW76="","",HOUR(BW76))</f>
        <v/>
      </c>
      <c r="EL76" s="3" t="str">
        <f>IF(BW76="","",MINUTE(BW76))</f>
        <v/>
      </c>
      <c r="EM76" s="3" t="str">
        <f>IF(BW76="","",SECOND(BW76))</f>
        <v/>
      </c>
      <c r="EN76" s="4">
        <f t="shared" si="15"/>
        <v>999</v>
      </c>
      <c r="EO76" s="3" t="str">
        <f>IF(DJ76="","",DAY(DJ76))</f>
        <v/>
      </c>
      <c r="EP76" s="3" t="str">
        <f>IF(DJ76="","",HOUR(DJ76))</f>
        <v/>
      </c>
      <c r="EQ76" s="3" t="str">
        <f>IF(DJ76="","",MINUTE(DJ76))</f>
        <v/>
      </c>
      <c r="ER76" s="3" t="str">
        <f>IF(DJ76="","",SECOND(DJ76))</f>
        <v/>
      </c>
      <c r="ES76" s="4">
        <f>BW76-DJ76</f>
        <v>0</v>
      </c>
      <c r="ET76" s="5">
        <f t="shared" si="16"/>
        <v>0</v>
      </c>
    </row>
    <row r="77" spans="1:150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2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3">
        <f>DAY(DN77)</f>
        <v>0</v>
      </c>
      <c r="EG77" s="3">
        <f>HOUR(DN77)</f>
        <v>0</v>
      </c>
      <c r="EH77" s="3">
        <f>MINUTE(DN77)</f>
        <v>0</v>
      </c>
      <c r="EI77" s="3">
        <f>SECOND(DN77)</f>
        <v>0</v>
      </c>
      <c r="EJ77" s="3" t="str">
        <f>IF(BW77="","",DAY(BW77))</f>
        <v/>
      </c>
      <c r="EK77" s="3" t="str">
        <f>IF(BW77="","",HOUR(BW77))</f>
        <v/>
      </c>
      <c r="EL77" s="3" t="str">
        <f>IF(BW77="","",MINUTE(BW77))</f>
        <v/>
      </c>
      <c r="EM77" s="3" t="str">
        <f>IF(BW77="","",SECOND(BW77))</f>
        <v/>
      </c>
      <c r="EN77" s="4">
        <f t="shared" ref="EN77:EN140" si="17">IF(EF77=EJ77,ROUND(((EK77-EG77)*60*60+(EL77-EH77)*60+EM77-EI77)/600,0),999)</f>
        <v>999</v>
      </c>
      <c r="EO77" s="3" t="str">
        <f>IF(DJ77="","",DAY(DJ77))</f>
        <v/>
      </c>
      <c r="EP77" s="3" t="str">
        <f>IF(DJ77="","",HOUR(DJ77))</f>
        <v/>
      </c>
      <c r="EQ77" s="3" t="str">
        <f>IF(DJ77="","",MINUTE(DJ77))</f>
        <v/>
      </c>
      <c r="ER77" s="3" t="str">
        <f>IF(DJ77="","",SECOND(DJ77))</f>
        <v/>
      </c>
      <c r="ES77" s="4">
        <f>BW77-DJ77</f>
        <v>0</v>
      </c>
      <c r="ET77" s="5">
        <f t="shared" si="16"/>
        <v>0</v>
      </c>
    </row>
    <row r="78" spans="1:150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2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3">
        <f>DAY(DN78)</f>
        <v>0</v>
      </c>
      <c r="EG78" s="3">
        <f>HOUR(DN78)</f>
        <v>0</v>
      </c>
      <c r="EH78" s="3">
        <f>MINUTE(DN78)</f>
        <v>0</v>
      </c>
      <c r="EI78" s="3">
        <f>SECOND(DN78)</f>
        <v>0</v>
      </c>
      <c r="EJ78" s="3" t="str">
        <f>IF(BW78="","",DAY(BW78))</f>
        <v/>
      </c>
      <c r="EK78" s="3" t="str">
        <f>IF(BW78="","",HOUR(BW78))</f>
        <v/>
      </c>
      <c r="EL78" s="3" t="str">
        <f>IF(BW78="","",MINUTE(BW78))</f>
        <v/>
      </c>
      <c r="EM78" s="3" t="str">
        <f>IF(BW78="","",SECOND(BW78))</f>
        <v/>
      </c>
      <c r="EN78" s="4">
        <f t="shared" si="17"/>
        <v>999</v>
      </c>
      <c r="EO78" s="3" t="str">
        <f>IF(DJ78="","",DAY(DJ78))</f>
        <v/>
      </c>
      <c r="EP78" s="3" t="str">
        <f>IF(DJ78="","",HOUR(DJ78))</f>
        <v/>
      </c>
      <c r="EQ78" s="3" t="str">
        <f>IF(DJ78="","",MINUTE(DJ78))</f>
        <v/>
      </c>
      <c r="ER78" s="3" t="str">
        <f>IF(DJ78="","",SECOND(DJ78))</f>
        <v/>
      </c>
      <c r="ES78" s="4">
        <f>BW78-DJ78</f>
        <v>0</v>
      </c>
      <c r="ET78" s="5">
        <f t="shared" si="16"/>
        <v>0</v>
      </c>
    </row>
    <row r="79" spans="1:150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2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3">
        <f>DAY(DN79)</f>
        <v>0</v>
      </c>
      <c r="EG79" s="3">
        <f>HOUR(DN79)</f>
        <v>0</v>
      </c>
      <c r="EH79" s="3">
        <f>MINUTE(DN79)</f>
        <v>0</v>
      </c>
      <c r="EI79" s="3">
        <f>SECOND(DN79)</f>
        <v>0</v>
      </c>
      <c r="EJ79" s="3" t="str">
        <f>IF(BW79="","",DAY(BW79))</f>
        <v/>
      </c>
      <c r="EK79" s="3" t="str">
        <f>IF(BW79="","",HOUR(BW79))</f>
        <v/>
      </c>
      <c r="EL79" s="3" t="str">
        <f>IF(BW79="","",MINUTE(BW79))</f>
        <v/>
      </c>
      <c r="EM79" s="3" t="str">
        <f>IF(BW79="","",SECOND(BW79))</f>
        <v/>
      </c>
      <c r="EN79" s="4">
        <f t="shared" si="17"/>
        <v>999</v>
      </c>
      <c r="EO79" s="3" t="str">
        <f>IF(DJ79="","",DAY(DJ79))</f>
        <v/>
      </c>
      <c r="EP79" s="3" t="str">
        <f>IF(DJ79="","",HOUR(DJ79))</f>
        <v/>
      </c>
      <c r="EQ79" s="3" t="str">
        <f>IF(DJ79="","",MINUTE(DJ79))</f>
        <v/>
      </c>
      <c r="ER79" s="3" t="str">
        <f>IF(DJ79="","",SECOND(DJ79))</f>
        <v/>
      </c>
      <c r="ES79" s="4">
        <f>BW79-DJ79</f>
        <v>0</v>
      </c>
      <c r="ET79" s="5">
        <f t="shared" si="16"/>
        <v>0</v>
      </c>
    </row>
    <row r="80" spans="1:150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2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3">
        <f>DAY(DN80)</f>
        <v>0</v>
      </c>
      <c r="EG80" s="3">
        <f>HOUR(DN80)</f>
        <v>0</v>
      </c>
      <c r="EH80" s="3">
        <f>MINUTE(DN80)</f>
        <v>0</v>
      </c>
      <c r="EI80" s="3">
        <f>SECOND(DN80)</f>
        <v>0</v>
      </c>
      <c r="EJ80" s="3" t="str">
        <f>IF(BW80="","",DAY(BW80))</f>
        <v/>
      </c>
      <c r="EK80" s="3" t="str">
        <f>IF(BW80="","",HOUR(BW80))</f>
        <v/>
      </c>
      <c r="EL80" s="3" t="str">
        <f>IF(BW80="","",MINUTE(BW80))</f>
        <v/>
      </c>
      <c r="EM80" s="3" t="str">
        <f>IF(BW80="","",SECOND(BW80))</f>
        <v/>
      </c>
      <c r="EN80" s="4">
        <f t="shared" si="17"/>
        <v>999</v>
      </c>
      <c r="EO80" s="3" t="str">
        <f>IF(DJ80="","",DAY(DJ80))</f>
        <v/>
      </c>
      <c r="EP80" s="3" t="str">
        <f>IF(DJ80="","",HOUR(DJ80))</f>
        <v/>
      </c>
      <c r="EQ80" s="3" t="str">
        <f>IF(DJ80="","",MINUTE(DJ80))</f>
        <v/>
      </c>
      <c r="ER80" s="3" t="str">
        <f>IF(DJ80="","",SECOND(DJ80))</f>
        <v/>
      </c>
      <c r="ES80" s="4">
        <f>BW80-DJ80</f>
        <v>0</v>
      </c>
      <c r="ET80" s="5">
        <f t="shared" si="16"/>
        <v>0</v>
      </c>
    </row>
    <row r="81" spans="1:150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2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3">
        <f>DAY(DN81)</f>
        <v>0</v>
      </c>
      <c r="EG81" s="3">
        <f>HOUR(DN81)</f>
        <v>0</v>
      </c>
      <c r="EH81" s="3">
        <f>MINUTE(DN81)</f>
        <v>0</v>
      </c>
      <c r="EI81" s="3">
        <f>SECOND(DN81)</f>
        <v>0</v>
      </c>
      <c r="EJ81" s="3" t="str">
        <f>IF(BW81="","",DAY(BW81))</f>
        <v/>
      </c>
      <c r="EK81" s="3" t="str">
        <f>IF(BW81="","",HOUR(BW81))</f>
        <v/>
      </c>
      <c r="EL81" s="3" t="str">
        <f>IF(BW81="","",MINUTE(BW81))</f>
        <v/>
      </c>
      <c r="EM81" s="3" t="str">
        <f>IF(BW81="","",SECOND(BW81))</f>
        <v/>
      </c>
      <c r="EN81" s="4">
        <f t="shared" si="17"/>
        <v>999</v>
      </c>
      <c r="EO81" s="3" t="str">
        <f>IF(DJ81="","",DAY(DJ81))</f>
        <v/>
      </c>
      <c r="EP81" s="3" t="str">
        <f>IF(DJ81="","",HOUR(DJ81))</f>
        <v/>
      </c>
      <c r="EQ81" s="3" t="str">
        <f>IF(DJ81="","",MINUTE(DJ81))</f>
        <v/>
      </c>
      <c r="ER81" s="3" t="str">
        <f>IF(DJ81="","",SECOND(DJ81))</f>
        <v/>
      </c>
      <c r="ES81" s="4">
        <f>BW81-DJ81</f>
        <v>0</v>
      </c>
      <c r="ET81" s="5">
        <f t="shared" si="16"/>
        <v>0</v>
      </c>
    </row>
    <row r="82" spans="1:150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2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3">
        <f>DAY(DN82)</f>
        <v>0</v>
      </c>
      <c r="EG82" s="3">
        <f>HOUR(DN82)</f>
        <v>0</v>
      </c>
      <c r="EH82" s="3">
        <f>MINUTE(DN82)</f>
        <v>0</v>
      </c>
      <c r="EI82" s="3">
        <f>SECOND(DN82)</f>
        <v>0</v>
      </c>
      <c r="EJ82" s="3" t="str">
        <f>IF(BW82="","",DAY(BW82))</f>
        <v/>
      </c>
      <c r="EK82" s="3" t="str">
        <f>IF(BW82="","",HOUR(BW82))</f>
        <v/>
      </c>
      <c r="EL82" s="3" t="str">
        <f>IF(BW82="","",MINUTE(BW82))</f>
        <v/>
      </c>
      <c r="EM82" s="3" t="str">
        <f>IF(BW82="","",SECOND(BW82))</f>
        <v/>
      </c>
      <c r="EN82" s="4">
        <f t="shared" si="17"/>
        <v>999</v>
      </c>
      <c r="EO82" s="3" t="str">
        <f>IF(DJ82="","",DAY(DJ82))</f>
        <v/>
      </c>
      <c r="EP82" s="3" t="str">
        <f>IF(DJ82="","",HOUR(DJ82))</f>
        <v/>
      </c>
      <c r="EQ82" s="3" t="str">
        <f>IF(DJ82="","",MINUTE(DJ82))</f>
        <v/>
      </c>
      <c r="ER82" s="3" t="str">
        <f>IF(DJ82="","",SECOND(DJ82))</f>
        <v/>
      </c>
      <c r="ES82" s="4">
        <f>BW82-DJ82</f>
        <v>0</v>
      </c>
      <c r="ET82" s="5">
        <f t="shared" si="16"/>
        <v>0</v>
      </c>
    </row>
    <row r="83" spans="1:150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2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3">
        <f>DAY(DN83)</f>
        <v>0</v>
      </c>
      <c r="EG83" s="3">
        <f>HOUR(DN83)</f>
        <v>0</v>
      </c>
      <c r="EH83" s="3">
        <f>MINUTE(DN83)</f>
        <v>0</v>
      </c>
      <c r="EI83" s="3">
        <f>SECOND(DN83)</f>
        <v>0</v>
      </c>
      <c r="EJ83" s="3" t="str">
        <f>IF(BW83="","",DAY(BW83))</f>
        <v/>
      </c>
      <c r="EK83" s="3" t="str">
        <f>IF(BW83="","",HOUR(BW83))</f>
        <v/>
      </c>
      <c r="EL83" s="3" t="str">
        <f>IF(BW83="","",MINUTE(BW83))</f>
        <v/>
      </c>
      <c r="EM83" s="3" t="str">
        <f>IF(BW83="","",SECOND(BW83))</f>
        <v/>
      </c>
      <c r="EN83" s="4">
        <f t="shared" si="17"/>
        <v>999</v>
      </c>
      <c r="EO83" s="3" t="str">
        <f>IF(DJ83="","",DAY(DJ83))</f>
        <v/>
      </c>
      <c r="EP83" s="3" t="str">
        <f>IF(DJ83="","",HOUR(DJ83))</f>
        <v/>
      </c>
      <c r="EQ83" s="3" t="str">
        <f>IF(DJ83="","",MINUTE(DJ83))</f>
        <v/>
      </c>
      <c r="ER83" s="3" t="str">
        <f>IF(DJ83="","",SECOND(DJ83))</f>
        <v/>
      </c>
      <c r="ES83" s="4">
        <f>BW83-DJ83</f>
        <v>0</v>
      </c>
      <c r="ET83" s="5">
        <f t="shared" si="16"/>
        <v>0</v>
      </c>
    </row>
    <row r="84" spans="1:150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2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3">
        <f>DAY(DN84)</f>
        <v>0</v>
      </c>
      <c r="EG84" s="3">
        <f>HOUR(DN84)</f>
        <v>0</v>
      </c>
      <c r="EH84" s="3">
        <f>MINUTE(DN84)</f>
        <v>0</v>
      </c>
      <c r="EI84" s="3">
        <f>SECOND(DN84)</f>
        <v>0</v>
      </c>
      <c r="EJ84" s="3" t="str">
        <f>IF(BW84="","",DAY(BW84))</f>
        <v/>
      </c>
      <c r="EK84" s="3" t="str">
        <f>IF(BW84="","",HOUR(BW84))</f>
        <v/>
      </c>
      <c r="EL84" s="3" t="str">
        <f>IF(BW84="","",MINUTE(BW84))</f>
        <v/>
      </c>
      <c r="EM84" s="3" t="str">
        <f>IF(BW84="","",SECOND(BW84))</f>
        <v/>
      </c>
      <c r="EN84" s="4">
        <f t="shared" si="17"/>
        <v>999</v>
      </c>
      <c r="EO84" s="3" t="str">
        <f>IF(DJ84="","",DAY(DJ84))</f>
        <v/>
      </c>
      <c r="EP84" s="3" t="str">
        <f>IF(DJ84="","",HOUR(DJ84))</f>
        <v/>
      </c>
      <c r="EQ84" s="3" t="str">
        <f>IF(DJ84="","",MINUTE(DJ84))</f>
        <v/>
      </c>
      <c r="ER84" s="3" t="str">
        <f>IF(DJ84="","",SECOND(DJ84))</f>
        <v/>
      </c>
      <c r="ES84" s="4">
        <f>BW84-DJ84</f>
        <v>0</v>
      </c>
      <c r="ET84" s="5">
        <f t="shared" si="16"/>
        <v>0</v>
      </c>
    </row>
    <row r="85" spans="1:150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2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3">
        <f>DAY(DN85)</f>
        <v>0</v>
      </c>
      <c r="EG85" s="3">
        <f>HOUR(DN85)</f>
        <v>0</v>
      </c>
      <c r="EH85" s="3">
        <f>MINUTE(DN85)</f>
        <v>0</v>
      </c>
      <c r="EI85" s="3">
        <f>SECOND(DN85)</f>
        <v>0</v>
      </c>
      <c r="EJ85" s="3" t="str">
        <f>IF(BW85="","",DAY(BW85))</f>
        <v/>
      </c>
      <c r="EK85" s="3" t="str">
        <f>IF(BW85="","",HOUR(BW85))</f>
        <v/>
      </c>
      <c r="EL85" s="3" t="str">
        <f>IF(BW85="","",MINUTE(BW85))</f>
        <v/>
      </c>
      <c r="EM85" s="3" t="str">
        <f>IF(BW85="","",SECOND(BW85))</f>
        <v/>
      </c>
      <c r="EN85" s="4">
        <f t="shared" si="17"/>
        <v>999</v>
      </c>
      <c r="EO85" s="3" t="str">
        <f>IF(DJ85="","",DAY(DJ85))</f>
        <v/>
      </c>
      <c r="EP85" s="3" t="str">
        <f>IF(DJ85="","",HOUR(DJ85))</f>
        <v/>
      </c>
      <c r="EQ85" s="3" t="str">
        <f>IF(DJ85="","",MINUTE(DJ85))</f>
        <v/>
      </c>
      <c r="ER85" s="3" t="str">
        <f>IF(DJ85="","",SECOND(DJ85))</f>
        <v/>
      </c>
      <c r="ES85" s="4">
        <f>BW85-DJ85</f>
        <v>0</v>
      </c>
      <c r="ET85" s="5">
        <f t="shared" si="16"/>
        <v>0</v>
      </c>
    </row>
    <row r="86" spans="1:150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2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3">
        <f>DAY(DN86)</f>
        <v>0</v>
      </c>
      <c r="EG86" s="3">
        <f>HOUR(DN86)</f>
        <v>0</v>
      </c>
      <c r="EH86" s="3">
        <f>MINUTE(DN86)</f>
        <v>0</v>
      </c>
      <c r="EI86" s="3">
        <f>SECOND(DN86)</f>
        <v>0</v>
      </c>
      <c r="EJ86" s="3" t="str">
        <f>IF(BW86="","",DAY(BW86))</f>
        <v/>
      </c>
      <c r="EK86" s="3" t="str">
        <f>IF(BW86="","",HOUR(BW86))</f>
        <v/>
      </c>
      <c r="EL86" s="3" t="str">
        <f>IF(BW86="","",MINUTE(BW86))</f>
        <v/>
      </c>
      <c r="EM86" s="3" t="str">
        <f>IF(BW86="","",SECOND(BW86))</f>
        <v/>
      </c>
      <c r="EN86" s="4">
        <f t="shared" si="17"/>
        <v>999</v>
      </c>
      <c r="EO86" s="3" t="str">
        <f>IF(DJ86="","",DAY(DJ86))</f>
        <v/>
      </c>
      <c r="EP86" s="3" t="str">
        <f>IF(DJ86="","",HOUR(DJ86))</f>
        <v/>
      </c>
      <c r="EQ86" s="3" t="str">
        <f>IF(DJ86="","",MINUTE(DJ86))</f>
        <v/>
      </c>
      <c r="ER86" s="3" t="str">
        <f>IF(DJ86="","",SECOND(DJ86))</f>
        <v/>
      </c>
      <c r="ES86" s="4">
        <f>BW86-DJ86</f>
        <v>0</v>
      </c>
      <c r="ET86" s="5">
        <f t="shared" si="16"/>
        <v>0</v>
      </c>
    </row>
    <row r="87" spans="1:150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2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3">
        <f>DAY(DN87)</f>
        <v>0</v>
      </c>
      <c r="EG87" s="3">
        <f>HOUR(DN87)</f>
        <v>0</v>
      </c>
      <c r="EH87" s="3">
        <f>MINUTE(DN87)</f>
        <v>0</v>
      </c>
      <c r="EI87" s="3">
        <f>SECOND(DN87)</f>
        <v>0</v>
      </c>
      <c r="EJ87" s="3" t="str">
        <f>IF(BW87="","",DAY(BW87))</f>
        <v/>
      </c>
      <c r="EK87" s="3" t="str">
        <f>IF(BW87="","",HOUR(BW87))</f>
        <v/>
      </c>
      <c r="EL87" s="3" t="str">
        <f>IF(BW87="","",MINUTE(BW87))</f>
        <v/>
      </c>
      <c r="EM87" s="3" t="str">
        <f>IF(BW87="","",SECOND(BW87))</f>
        <v/>
      </c>
      <c r="EN87" s="4">
        <f t="shared" si="17"/>
        <v>999</v>
      </c>
      <c r="EO87" s="3" t="str">
        <f>IF(DJ87="","",DAY(DJ87))</f>
        <v/>
      </c>
      <c r="EP87" s="3" t="str">
        <f>IF(DJ87="","",HOUR(DJ87))</f>
        <v/>
      </c>
      <c r="EQ87" s="3" t="str">
        <f>IF(DJ87="","",MINUTE(DJ87))</f>
        <v/>
      </c>
      <c r="ER87" s="3" t="str">
        <f>IF(DJ87="","",SECOND(DJ87))</f>
        <v/>
      </c>
      <c r="ES87" s="4">
        <f>BW87-DJ87</f>
        <v>0</v>
      </c>
      <c r="ET87" s="5">
        <f t="shared" si="16"/>
        <v>0</v>
      </c>
    </row>
    <row r="88" spans="1:150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2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3">
        <f>DAY(DN88)</f>
        <v>0</v>
      </c>
      <c r="EG88" s="3">
        <f>HOUR(DN88)</f>
        <v>0</v>
      </c>
      <c r="EH88" s="3">
        <f>MINUTE(DN88)</f>
        <v>0</v>
      </c>
      <c r="EI88" s="3">
        <f>SECOND(DN88)</f>
        <v>0</v>
      </c>
      <c r="EJ88" s="3" t="str">
        <f>IF(BW88="","",DAY(BW88))</f>
        <v/>
      </c>
      <c r="EK88" s="3" t="str">
        <f>IF(BW88="","",HOUR(BW88))</f>
        <v/>
      </c>
      <c r="EL88" s="3" t="str">
        <f>IF(BW88="","",MINUTE(BW88))</f>
        <v/>
      </c>
      <c r="EM88" s="3" t="str">
        <f>IF(BW88="","",SECOND(BW88))</f>
        <v/>
      </c>
      <c r="EN88" s="4">
        <f t="shared" si="17"/>
        <v>999</v>
      </c>
      <c r="EO88" s="3" t="str">
        <f>IF(DJ88="","",DAY(DJ88))</f>
        <v/>
      </c>
      <c r="EP88" s="3" t="str">
        <f>IF(DJ88="","",HOUR(DJ88))</f>
        <v/>
      </c>
      <c r="EQ88" s="3" t="str">
        <f>IF(DJ88="","",MINUTE(DJ88))</f>
        <v/>
      </c>
      <c r="ER88" s="3" t="str">
        <f>IF(DJ88="","",SECOND(DJ88))</f>
        <v/>
      </c>
      <c r="ES88" s="4">
        <f>BW88-DJ88</f>
        <v>0</v>
      </c>
      <c r="ET88" s="5">
        <f t="shared" si="16"/>
        <v>0</v>
      </c>
    </row>
    <row r="89" spans="1:150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2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3">
        <f>DAY(DN89)</f>
        <v>0</v>
      </c>
      <c r="EG89" s="3">
        <f>HOUR(DN89)</f>
        <v>0</v>
      </c>
      <c r="EH89" s="3">
        <f>MINUTE(DN89)</f>
        <v>0</v>
      </c>
      <c r="EI89" s="3">
        <f>SECOND(DN89)</f>
        <v>0</v>
      </c>
      <c r="EJ89" s="3" t="str">
        <f>IF(BW89="","",DAY(BW89))</f>
        <v/>
      </c>
      <c r="EK89" s="3" t="str">
        <f>IF(BW89="","",HOUR(BW89))</f>
        <v/>
      </c>
      <c r="EL89" s="3" t="str">
        <f>IF(BW89="","",MINUTE(BW89))</f>
        <v/>
      </c>
      <c r="EM89" s="3" t="str">
        <f>IF(BW89="","",SECOND(BW89))</f>
        <v/>
      </c>
      <c r="EN89" s="4">
        <f t="shared" si="17"/>
        <v>999</v>
      </c>
      <c r="EO89" s="3" t="str">
        <f>IF(DJ89="","",DAY(DJ89))</f>
        <v/>
      </c>
      <c r="EP89" s="3" t="str">
        <f>IF(DJ89="","",HOUR(DJ89))</f>
        <v/>
      </c>
      <c r="EQ89" s="3" t="str">
        <f>IF(DJ89="","",MINUTE(DJ89))</f>
        <v/>
      </c>
      <c r="ER89" s="3" t="str">
        <f>IF(DJ89="","",SECOND(DJ89))</f>
        <v/>
      </c>
      <c r="ES89" s="4">
        <f>BW89-DJ89</f>
        <v>0</v>
      </c>
      <c r="ET89" s="5">
        <f t="shared" si="16"/>
        <v>0</v>
      </c>
    </row>
    <row r="90" spans="1:150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2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3">
        <f>DAY(DN90)</f>
        <v>0</v>
      </c>
      <c r="EG90" s="3">
        <f>HOUR(DN90)</f>
        <v>0</v>
      </c>
      <c r="EH90" s="3">
        <f>MINUTE(DN90)</f>
        <v>0</v>
      </c>
      <c r="EI90" s="3">
        <f>SECOND(DN90)</f>
        <v>0</v>
      </c>
      <c r="EJ90" s="3" t="str">
        <f>IF(BW90="","",DAY(BW90))</f>
        <v/>
      </c>
      <c r="EK90" s="3" t="str">
        <f>IF(BW90="","",HOUR(BW90))</f>
        <v/>
      </c>
      <c r="EL90" s="3" t="str">
        <f>IF(BW90="","",MINUTE(BW90))</f>
        <v/>
      </c>
      <c r="EM90" s="3" t="str">
        <f>IF(BW90="","",SECOND(BW90))</f>
        <v/>
      </c>
      <c r="EN90" s="4">
        <f t="shared" si="17"/>
        <v>999</v>
      </c>
      <c r="EO90" s="3" t="str">
        <f>IF(DJ90="","",DAY(DJ90))</f>
        <v/>
      </c>
      <c r="EP90" s="3" t="str">
        <f>IF(DJ90="","",HOUR(DJ90))</f>
        <v/>
      </c>
      <c r="EQ90" s="3" t="str">
        <f>IF(DJ90="","",MINUTE(DJ90))</f>
        <v/>
      </c>
      <c r="ER90" s="3" t="str">
        <f>IF(DJ90="","",SECOND(DJ90))</f>
        <v/>
      </c>
      <c r="ES90" s="4">
        <f>BW90-DJ90</f>
        <v>0</v>
      </c>
      <c r="ET90" s="5">
        <f t="shared" si="16"/>
        <v>0</v>
      </c>
    </row>
    <row r="91" spans="1:150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2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3">
        <f>DAY(DN91)</f>
        <v>0</v>
      </c>
      <c r="EG91" s="3">
        <f>HOUR(DN91)</f>
        <v>0</v>
      </c>
      <c r="EH91" s="3">
        <f>MINUTE(DN91)</f>
        <v>0</v>
      </c>
      <c r="EI91" s="3">
        <f>SECOND(DN91)</f>
        <v>0</v>
      </c>
      <c r="EJ91" s="3" t="str">
        <f>IF(BW91="","",DAY(BW91))</f>
        <v/>
      </c>
      <c r="EK91" s="3" t="str">
        <f>IF(BW91="","",HOUR(BW91))</f>
        <v/>
      </c>
      <c r="EL91" s="3" t="str">
        <f>IF(BW91="","",MINUTE(BW91))</f>
        <v/>
      </c>
      <c r="EM91" s="3" t="str">
        <f>IF(BW91="","",SECOND(BW91))</f>
        <v/>
      </c>
      <c r="EN91" s="4">
        <f t="shared" si="17"/>
        <v>999</v>
      </c>
      <c r="EO91" s="3" t="str">
        <f>IF(DJ91="","",DAY(DJ91))</f>
        <v/>
      </c>
      <c r="EP91" s="3" t="str">
        <f>IF(DJ91="","",HOUR(DJ91))</f>
        <v/>
      </c>
      <c r="EQ91" s="3" t="str">
        <f>IF(DJ91="","",MINUTE(DJ91))</f>
        <v/>
      </c>
      <c r="ER91" s="3" t="str">
        <f>IF(DJ91="","",SECOND(DJ91))</f>
        <v/>
      </c>
      <c r="ES91" s="4">
        <f>BW91-DJ91</f>
        <v>0</v>
      </c>
      <c r="ET91" s="5">
        <f t="shared" si="16"/>
        <v>0</v>
      </c>
    </row>
    <row r="92" spans="1:150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2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3">
        <f>DAY(DN92)</f>
        <v>0</v>
      </c>
      <c r="EG92" s="3">
        <f>HOUR(DN92)</f>
        <v>0</v>
      </c>
      <c r="EH92" s="3">
        <f>MINUTE(DN92)</f>
        <v>0</v>
      </c>
      <c r="EI92" s="3">
        <f>SECOND(DN92)</f>
        <v>0</v>
      </c>
      <c r="EJ92" s="3" t="str">
        <f>IF(BW92="","",DAY(BW92))</f>
        <v/>
      </c>
      <c r="EK92" s="3" t="str">
        <f>IF(BW92="","",HOUR(BW92))</f>
        <v/>
      </c>
      <c r="EL92" s="3" t="str">
        <f>IF(BW92="","",MINUTE(BW92))</f>
        <v/>
      </c>
      <c r="EM92" s="3" t="str">
        <f>IF(BW92="","",SECOND(BW92))</f>
        <v/>
      </c>
      <c r="EN92" s="4">
        <f t="shared" si="17"/>
        <v>999</v>
      </c>
      <c r="EO92" s="3" t="str">
        <f>IF(DJ92="","",DAY(DJ92))</f>
        <v/>
      </c>
      <c r="EP92" s="3" t="str">
        <f>IF(DJ92="","",HOUR(DJ92))</f>
        <v/>
      </c>
      <c r="EQ92" s="3" t="str">
        <f>IF(DJ92="","",MINUTE(DJ92))</f>
        <v/>
      </c>
      <c r="ER92" s="3" t="str">
        <f>IF(DJ92="","",SECOND(DJ92))</f>
        <v/>
      </c>
      <c r="ES92" s="4">
        <f>BW92-DJ92</f>
        <v>0</v>
      </c>
      <c r="ET92" s="5">
        <f t="shared" si="16"/>
        <v>0</v>
      </c>
    </row>
    <row r="93" spans="1:150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2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3">
        <f>DAY(DN93)</f>
        <v>0</v>
      </c>
      <c r="EG93" s="3">
        <f>HOUR(DN93)</f>
        <v>0</v>
      </c>
      <c r="EH93" s="3">
        <f>MINUTE(DN93)</f>
        <v>0</v>
      </c>
      <c r="EI93" s="3">
        <f>SECOND(DN93)</f>
        <v>0</v>
      </c>
      <c r="EJ93" s="3" t="str">
        <f>IF(BW93="","",DAY(BW93))</f>
        <v/>
      </c>
      <c r="EK93" s="3" t="str">
        <f>IF(BW93="","",HOUR(BW93))</f>
        <v/>
      </c>
      <c r="EL93" s="3" t="str">
        <f>IF(BW93="","",MINUTE(BW93))</f>
        <v/>
      </c>
      <c r="EM93" s="3" t="str">
        <f>IF(BW93="","",SECOND(BW93))</f>
        <v/>
      </c>
      <c r="EN93" s="4">
        <f t="shared" si="17"/>
        <v>999</v>
      </c>
      <c r="EO93" s="3" t="str">
        <f>IF(DJ93="","",DAY(DJ93))</f>
        <v/>
      </c>
      <c r="EP93" s="3" t="str">
        <f>IF(DJ93="","",HOUR(DJ93))</f>
        <v/>
      </c>
      <c r="EQ93" s="3" t="str">
        <f>IF(DJ93="","",MINUTE(DJ93))</f>
        <v/>
      </c>
      <c r="ER93" s="3" t="str">
        <f>IF(DJ93="","",SECOND(DJ93))</f>
        <v/>
      </c>
      <c r="ES93" s="4">
        <f>BW93-DJ93</f>
        <v>0</v>
      </c>
      <c r="ET93" s="5">
        <f t="shared" si="16"/>
        <v>0</v>
      </c>
    </row>
    <row r="94" spans="1:150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2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3">
        <f>DAY(DN94)</f>
        <v>0</v>
      </c>
      <c r="EG94" s="3">
        <f>HOUR(DN94)</f>
        <v>0</v>
      </c>
      <c r="EH94" s="3">
        <f>MINUTE(DN94)</f>
        <v>0</v>
      </c>
      <c r="EI94" s="3">
        <f>SECOND(DN94)</f>
        <v>0</v>
      </c>
      <c r="EJ94" s="3" t="str">
        <f>IF(BW94="","",DAY(BW94))</f>
        <v/>
      </c>
      <c r="EK94" s="3" t="str">
        <f>IF(BW94="","",HOUR(BW94))</f>
        <v/>
      </c>
      <c r="EL94" s="3" t="str">
        <f>IF(BW94="","",MINUTE(BW94))</f>
        <v/>
      </c>
      <c r="EM94" s="3" t="str">
        <f>IF(BW94="","",SECOND(BW94))</f>
        <v/>
      </c>
      <c r="EN94" s="4">
        <f t="shared" si="17"/>
        <v>999</v>
      </c>
      <c r="EO94" s="3" t="str">
        <f>IF(DJ94="","",DAY(DJ94))</f>
        <v/>
      </c>
      <c r="EP94" s="3" t="str">
        <f>IF(DJ94="","",HOUR(DJ94))</f>
        <v/>
      </c>
      <c r="EQ94" s="3" t="str">
        <f>IF(DJ94="","",MINUTE(DJ94))</f>
        <v/>
      </c>
      <c r="ER94" s="3" t="str">
        <f>IF(DJ94="","",SECOND(DJ94))</f>
        <v/>
      </c>
      <c r="ES94" s="4">
        <f>BW94-DJ94</f>
        <v>0</v>
      </c>
      <c r="ET94" s="5">
        <f t="shared" si="16"/>
        <v>0</v>
      </c>
    </row>
    <row r="95" spans="1:150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2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3">
        <f>DAY(DN95)</f>
        <v>0</v>
      </c>
      <c r="EG95" s="3">
        <f>HOUR(DN95)</f>
        <v>0</v>
      </c>
      <c r="EH95" s="3">
        <f>MINUTE(DN95)</f>
        <v>0</v>
      </c>
      <c r="EI95" s="3">
        <f>SECOND(DN95)</f>
        <v>0</v>
      </c>
      <c r="EJ95" s="3" t="str">
        <f>IF(BW95="","",DAY(BW95))</f>
        <v/>
      </c>
      <c r="EK95" s="3" t="str">
        <f>IF(BW95="","",HOUR(BW95))</f>
        <v/>
      </c>
      <c r="EL95" s="3" t="str">
        <f>IF(BW95="","",MINUTE(BW95))</f>
        <v/>
      </c>
      <c r="EM95" s="3" t="str">
        <f>IF(BW95="","",SECOND(BW95))</f>
        <v/>
      </c>
      <c r="EN95" s="4">
        <f t="shared" si="17"/>
        <v>999</v>
      </c>
      <c r="EO95" s="3" t="str">
        <f>IF(DJ95="","",DAY(DJ95))</f>
        <v/>
      </c>
      <c r="EP95" s="3" t="str">
        <f>IF(DJ95="","",HOUR(DJ95))</f>
        <v/>
      </c>
      <c r="EQ95" s="3" t="str">
        <f>IF(DJ95="","",MINUTE(DJ95))</f>
        <v/>
      </c>
      <c r="ER95" s="3" t="str">
        <f>IF(DJ95="","",SECOND(DJ95))</f>
        <v/>
      </c>
      <c r="ES95" s="4">
        <f>BW95-DJ95</f>
        <v>0</v>
      </c>
      <c r="ET95" s="5">
        <f t="shared" si="16"/>
        <v>0</v>
      </c>
    </row>
    <row r="96" spans="1:150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2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3">
        <f>DAY(DN96)</f>
        <v>0</v>
      </c>
      <c r="EG96" s="3">
        <f>HOUR(DN96)</f>
        <v>0</v>
      </c>
      <c r="EH96" s="3">
        <f>MINUTE(DN96)</f>
        <v>0</v>
      </c>
      <c r="EI96" s="3">
        <f>SECOND(DN96)</f>
        <v>0</v>
      </c>
      <c r="EJ96" s="3" t="str">
        <f>IF(BW96="","",DAY(BW96))</f>
        <v/>
      </c>
      <c r="EK96" s="3" t="str">
        <f>IF(BW96="","",HOUR(BW96))</f>
        <v/>
      </c>
      <c r="EL96" s="3" t="str">
        <f>IF(BW96="","",MINUTE(BW96))</f>
        <v/>
      </c>
      <c r="EM96" s="3" t="str">
        <f>IF(BW96="","",SECOND(BW96))</f>
        <v/>
      </c>
      <c r="EN96" s="4">
        <f t="shared" si="17"/>
        <v>999</v>
      </c>
      <c r="EO96" s="3" t="str">
        <f>IF(DJ96="","",DAY(DJ96))</f>
        <v/>
      </c>
      <c r="EP96" s="3" t="str">
        <f>IF(DJ96="","",HOUR(DJ96))</f>
        <v/>
      </c>
      <c r="EQ96" s="3" t="str">
        <f>IF(DJ96="","",MINUTE(DJ96))</f>
        <v/>
      </c>
      <c r="ER96" s="3" t="str">
        <f>IF(DJ96="","",SECOND(DJ96))</f>
        <v/>
      </c>
      <c r="ES96" s="4">
        <f>BW96-DJ96</f>
        <v>0</v>
      </c>
      <c r="ET96" s="5">
        <f t="shared" si="16"/>
        <v>0</v>
      </c>
    </row>
    <row r="97" spans="1:150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2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3">
        <f>DAY(DN97)</f>
        <v>0</v>
      </c>
      <c r="EG97" s="3">
        <f>HOUR(DN97)</f>
        <v>0</v>
      </c>
      <c r="EH97" s="3">
        <f>MINUTE(DN97)</f>
        <v>0</v>
      </c>
      <c r="EI97" s="3">
        <f>SECOND(DN97)</f>
        <v>0</v>
      </c>
      <c r="EJ97" s="3" t="str">
        <f>IF(BW97="","",DAY(BW97))</f>
        <v/>
      </c>
      <c r="EK97" s="3" t="str">
        <f>IF(BW97="","",HOUR(BW97))</f>
        <v/>
      </c>
      <c r="EL97" s="3" t="str">
        <f>IF(BW97="","",MINUTE(BW97))</f>
        <v/>
      </c>
      <c r="EM97" s="3" t="str">
        <f>IF(BW97="","",SECOND(BW97))</f>
        <v/>
      </c>
      <c r="EN97" s="4">
        <f t="shared" si="17"/>
        <v>999</v>
      </c>
      <c r="EO97" s="3" t="str">
        <f>IF(DJ97="","",DAY(DJ97))</f>
        <v/>
      </c>
      <c r="EP97" s="3" t="str">
        <f>IF(DJ97="","",HOUR(DJ97))</f>
        <v/>
      </c>
      <c r="EQ97" s="3" t="str">
        <f>IF(DJ97="","",MINUTE(DJ97))</f>
        <v/>
      </c>
      <c r="ER97" s="3" t="str">
        <f>IF(DJ97="","",SECOND(DJ97))</f>
        <v/>
      </c>
      <c r="ES97" s="4">
        <f>BW97-DJ97</f>
        <v>0</v>
      </c>
      <c r="ET97" s="5">
        <f t="shared" si="16"/>
        <v>0</v>
      </c>
    </row>
    <row r="98" spans="1:150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2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3">
        <f>DAY(DN98)</f>
        <v>0</v>
      </c>
      <c r="EG98" s="3">
        <f>HOUR(DN98)</f>
        <v>0</v>
      </c>
      <c r="EH98" s="3">
        <f>MINUTE(DN98)</f>
        <v>0</v>
      </c>
      <c r="EI98" s="3">
        <f>SECOND(DN98)</f>
        <v>0</v>
      </c>
      <c r="EJ98" s="3" t="str">
        <f>IF(BW98="","",DAY(BW98))</f>
        <v/>
      </c>
      <c r="EK98" s="3" t="str">
        <f>IF(BW98="","",HOUR(BW98))</f>
        <v/>
      </c>
      <c r="EL98" s="3" t="str">
        <f>IF(BW98="","",MINUTE(BW98))</f>
        <v/>
      </c>
      <c r="EM98" s="3" t="str">
        <f>IF(BW98="","",SECOND(BW98))</f>
        <v/>
      </c>
      <c r="EN98" s="4">
        <f t="shared" si="17"/>
        <v>999</v>
      </c>
      <c r="EO98" s="3" t="str">
        <f>IF(DJ98="","",DAY(DJ98))</f>
        <v/>
      </c>
      <c r="EP98" s="3" t="str">
        <f>IF(DJ98="","",HOUR(DJ98))</f>
        <v/>
      </c>
      <c r="EQ98" s="3" t="str">
        <f>IF(DJ98="","",MINUTE(DJ98))</f>
        <v/>
      </c>
      <c r="ER98" s="3" t="str">
        <f>IF(DJ98="","",SECOND(DJ98))</f>
        <v/>
      </c>
      <c r="ES98" s="4">
        <f>BW98-DJ98</f>
        <v>0</v>
      </c>
      <c r="ET98" s="5">
        <f t="shared" si="16"/>
        <v>0</v>
      </c>
    </row>
    <row r="99" spans="1:150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2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3">
        <f>DAY(DN99)</f>
        <v>0</v>
      </c>
      <c r="EG99" s="3">
        <f>HOUR(DN99)</f>
        <v>0</v>
      </c>
      <c r="EH99" s="3">
        <f>MINUTE(DN99)</f>
        <v>0</v>
      </c>
      <c r="EI99" s="3">
        <f>SECOND(DN99)</f>
        <v>0</v>
      </c>
      <c r="EJ99" s="3" t="str">
        <f>IF(BW99="","",DAY(BW99))</f>
        <v/>
      </c>
      <c r="EK99" s="3" t="str">
        <f>IF(BW99="","",HOUR(BW99))</f>
        <v/>
      </c>
      <c r="EL99" s="3" t="str">
        <f>IF(BW99="","",MINUTE(BW99))</f>
        <v/>
      </c>
      <c r="EM99" s="3" t="str">
        <f>IF(BW99="","",SECOND(BW99))</f>
        <v/>
      </c>
      <c r="EN99" s="4">
        <f t="shared" si="17"/>
        <v>999</v>
      </c>
      <c r="EO99" s="3" t="str">
        <f>IF(DJ99="","",DAY(DJ99))</f>
        <v/>
      </c>
      <c r="EP99" s="3" t="str">
        <f>IF(DJ99="","",HOUR(DJ99))</f>
        <v/>
      </c>
      <c r="EQ99" s="3" t="str">
        <f>IF(DJ99="","",MINUTE(DJ99))</f>
        <v/>
      </c>
      <c r="ER99" s="3" t="str">
        <f>IF(DJ99="","",SECOND(DJ99))</f>
        <v/>
      </c>
      <c r="ES99" s="4">
        <f>BW99-DJ99</f>
        <v>0</v>
      </c>
      <c r="ET99" s="5">
        <f t="shared" si="16"/>
        <v>0</v>
      </c>
    </row>
    <row r="100" spans="1:150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2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3">
        <f>DAY(DN100)</f>
        <v>0</v>
      </c>
      <c r="EG100" s="3">
        <f>HOUR(DN100)</f>
        <v>0</v>
      </c>
      <c r="EH100" s="3">
        <f>MINUTE(DN100)</f>
        <v>0</v>
      </c>
      <c r="EI100" s="3">
        <f>SECOND(DN100)</f>
        <v>0</v>
      </c>
      <c r="EJ100" s="3" t="str">
        <f>IF(BW100="","",DAY(BW100))</f>
        <v/>
      </c>
      <c r="EK100" s="3" t="str">
        <f>IF(BW100="","",HOUR(BW100))</f>
        <v/>
      </c>
      <c r="EL100" s="3" t="str">
        <f>IF(BW100="","",MINUTE(BW100))</f>
        <v/>
      </c>
      <c r="EM100" s="3" t="str">
        <f>IF(BW100="","",SECOND(BW100))</f>
        <v/>
      </c>
      <c r="EN100" s="4">
        <f t="shared" si="17"/>
        <v>999</v>
      </c>
      <c r="EO100" s="3" t="str">
        <f>IF(DJ100="","",DAY(DJ100))</f>
        <v/>
      </c>
      <c r="EP100" s="3" t="str">
        <f>IF(DJ100="","",HOUR(DJ100))</f>
        <v/>
      </c>
      <c r="EQ100" s="3" t="str">
        <f>IF(DJ100="","",MINUTE(DJ100))</f>
        <v/>
      </c>
      <c r="ER100" s="3" t="str">
        <f>IF(DJ100="","",SECOND(DJ100))</f>
        <v/>
      </c>
      <c r="ES100" s="4">
        <f>BW100-DJ100</f>
        <v>0</v>
      </c>
      <c r="ET100" s="5">
        <f t="shared" si="16"/>
        <v>0</v>
      </c>
    </row>
    <row r="101" spans="1:150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2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3">
        <f>DAY(DN101)</f>
        <v>0</v>
      </c>
      <c r="EG101" s="3">
        <f>HOUR(DN101)</f>
        <v>0</v>
      </c>
      <c r="EH101" s="3">
        <f>MINUTE(DN101)</f>
        <v>0</v>
      </c>
      <c r="EI101" s="3">
        <f>SECOND(DN101)</f>
        <v>0</v>
      </c>
      <c r="EJ101" s="3" t="str">
        <f>IF(BW101="","",DAY(BW101))</f>
        <v/>
      </c>
      <c r="EK101" s="3" t="str">
        <f>IF(BW101="","",HOUR(BW101))</f>
        <v/>
      </c>
      <c r="EL101" s="3" t="str">
        <f>IF(BW101="","",MINUTE(BW101))</f>
        <v/>
      </c>
      <c r="EM101" s="3" t="str">
        <f>IF(BW101="","",SECOND(BW101))</f>
        <v/>
      </c>
      <c r="EN101" s="4">
        <f t="shared" si="17"/>
        <v>999</v>
      </c>
      <c r="EO101" s="3" t="str">
        <f>IF(DJ101="","",DAY(DJ101))</f>
        <v/>
      </c>
      <c r="EP101" s="3" t="str">
        <f>IF(DJ101="","",HOUR(DJ101))</f>
        <v/>
      </c>
      <c r="EQ101" s="3" t="str">
        <f>IF(DJ101="","",MINUTE(DJ101))</f>
        <v/>
      </c>
      <c r="ER101" s="3" t="str">
        <f>IF(DJ101="","",SECOND(DJ101))</f>
        <v/>
      </c>
      <c r="ES101" s="4">
        <f>BW101-DJ101</f>
        <v>0</v>
      </c>
      <c r="ET101" s="5">
        <f t="shared" si="16"/>
        <v>0</v>
      </c>
    </row>
    <row r="102" spans="1:150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2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3">
        <f>DAY(DN102)</f>
        <v>0</v>
      </c>
      <c r="EG102" s="3">
        <f>HOUR(DN102)</f>
        <v>0</v>
      </c>
      <c r="EH102" s="3">
        <f>MINUTE(DN102)</f>
        <v>0</v>
      </c>
      <c r="EI102" s="3">
        <f>SECOND(DN102)</f>
        <v>0</v>
      </c>
      <c r="EJ102" s="3" t="str">
        <f>IF(BW102="","",DAY(BW102))</f>
        <v/>
      </c>
      <c r="EK102" s="3" t="str">
        <f>IF(BW102="","",HOUR(BW102))</f>
        <v/>
      </c>
      <c r="EL102" s="3" t="str">
        <f>IF(BW102="","",MINUTE(BW102))</f>
        <v/>
      </c>
      <c r="EM102" s="3" t="str">
        <f>IF(BW102="","",SECOND(BW102))</f>
        <v/>
      </c>
      <c r="EN102" s="4">
        <f t="shared" si="17"/>
        <v>999</v>
      </c>
      <c r="EO102" s="3" t="str">
        <f>IF(DJ102="","",DAY(DJ102))</f>
        <v/>
      </c>
      <c r="EP102" s="3" t="str">
        <f>IF(DJ102="","",HOUR(DJ102))</f>
        <v/>
      </c>
      <c r="EQ102" s="3" t="str">
        <f>IF(DJ102="","",MINUTE(DJ102))</f>
        <v/>
      </c>
      <c r="ER102" s="3" t="str">
        <f>IF(DJ102="","",SECOND(DJ102))</f>
        <v/>
      </c>
      <c r="ES102" s="4">
        <f>BW102-DJ102</f>
        <v>0</v>
      </c>
      <c r="ET102" s="5">
        <f t="shared" si="16"/>
        <v>0</v>
      </c>
    </row>
    <row r="103" spans="1:150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2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3">
        <f>DAY(DN103)</f>
        <v>0</v>
      </c>
      <c r="EG103" s="3">
        <f>HOUR(DN103)</f>
        <v>0</v>
      </c>
      <c r="EH103" s="3">
        <f>MINUTE(DN103)</f>
        <v>0</v>
      </c>
      <c r="EI103" s="3">
        <f>SECOND(DN103)</f>
        <v>0</v>
      </c>
      <c r="EJ103" s="3" t="str">
        <f>IF(BW103="","",DAY(BW103))</f>
        <v/>
      </c>
      <c r="EK103" s="3" t="str">
        <f>IF(BW103="","",HOUR(BW103))</f>
        <v/>
      </c>
      <c r="EL103" s="3" t="str">
        <f>IF(BW103="","",MINUTE(BW103))</f>
        <v/>
      </c>
      <c r="EM103" s="3" t="str">
        <f>IF(BW103="","",SECOND(BW103))</f>
        <v/>
      </c>
      <c r="EN103" s="4">
        <f t="shared" si="17"/>
        <v>999</v>
      </c>
      <c r="EO103" s="3" t="str">
        <f>IF(DJ103="","",DAY(DJ103))</f>
        <v/>
      </c>
      <c r="EP103" s="3" t="str">
        <f>IF(DJ103="","",HOUR(DJ103))</f>
        <v/>
      </c>
      <c r="EQ103" s="3" t="str">
        <f>IF(DJ103="","",MINUTE(DJ103))</f>
        <v/>
      </c>
      <c r="ER103" s="3" t="str">
        <f>IF(DJ103="","",SECOND(DJ103))</f>
        <v/>
      </c>
      <c r="ES103" s="4">
        <f>BW103-DJ103</f>
        <v>0</v>
      </c>
      <c r="ET103" s="5">
        <f t="shared" si="16"/>
        <v>0</v>
      </c>
    </row>
    <row r="104" spans="1:150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2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3">
        <f>DAY(DN104)</f>
        <v>0</v>
      </c>
      <c r="EG104" s="3">
        <f>HOUR(DN104)</f>
        <v>0</v>
      </c>
      <c r="EH104" s="3">
        <f>MINUTE(DN104)</f>
        <v>0</v>
      </c>
      <c r="EI104" s="3">
        <f>SECOND(DN104)</f>
        <v>0</v>
      </c>
      <c r="EJ104" s="3" t="str">
        <f>IF(BW104="","",DAY(BW104))</f>
        <v/>
      </c>
      <c r="EK104" s="3" t="str">
        <f>IF(BW104="","",HOUR(BW104))</f>
        <v/>
      </c>
      <c r="EL104" s="3" t="str">
        <f>IF(BW104="","",MINUTE(BW104))</f>
        <v/>
      </c>
      <c r="EM104" s="3" t="str">
        <f>IF(BW104="","",SECOND(BW104))</f>
        <v/>
      </c>
      <c r="EN104" s="4">
        <f t="shared" si="17"/>
        <v>999</v>
      </c>
      <c r="EO104" s="3" t="str">
        <f>IF(DJ104="","",DAY(DJ104))</f>
        <v/>
      </c>
      <c r="EP104" s="3" t="str">
        <f>IF(DJ104="","",HOUR(DJ104))</f>
        <v/>
      </c>
      <c r="EQ104" s="3" t="str">
        <f>IF(DJ104="","",MINUTE(DJ104))</f>
        <v/>
      </c>
      <c r="ER104" s="3" t="str">
        <f>IF(DJ104="","",SECOND(DJ104))</f>
        <v/>
      </c>
      <c r="ES104" s="4">
        <f>BW104-DJ104</f>
        <v>0</v>
      </c>
      <c r="ET104" s="5">
        <f t="shared" si="16"/>
        <v>0</v>
      </c>
    </row>
    <row r="105" spans="1:150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2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3">
        <f>DAY(DN105)</f>
        <v>0</v>
      </c>
      <c r="EG105" s="3">
        <f>HOUR(DN105)</f>
        <v>0</v>
      </c>
      <c r="EH105" s="3">
        <f>MINUTE(DN105)</f>
        <v>0</v>
      </c>
      <c r="EI105" s="3">
        <f>SECOND(DN105)</f>
        <v>0</v>
      </c>
      <c r="EJ105" s="3" t="str">
        <f>IF(BW105="","",DAY(BW105))</f>
        <v/>
      </c>
      <c r="EK105" s="3" t="str">
        <f>IF(BW105="","",HOUR(BW105))</f>
        <v/>
      </c>
      <c r="EL105" s="3" t="str">
        <f>IF(BW105="","",MINUTE(BW105))</f>
        <v/>
      </c>
      <c r="EM105" s="3" t="str">
        <f>IF(BW105="","",SECOND(BW105))</f>
        <v/>
      </c>
      <c r="EN105" s="4">
        <f t="shared" si="17"/>
        <v>999</v>
      </c>
      <c r="EO105" s="3" t="str">
        <f>IF(DJ105="","",DAY(DJ105))</f>
        <v/>
      </c>
      <c r="EP105" s="3" t="str">
        <f>IF(DJ105="","",HOUR(DJ105))</f>
        <v/>
      </c>
      <c r="EQ105" s="3" t="str">
        <f>IF(DJ105="","",MINUTE(DJ105))</f>
        <v/>
      </c>
      <c r="ER105" s="3" t="str">
        <f>IF(DJ105="","",SECOND(DJ105))</f>
        <v/>
      </c>
      <c r="ES105" s="4">
        <f>BW105-DJ105</f>
        <v>0</v>
      </c>
      <c r="ET105" s="5">
        <f t="shared" si="16"/>
        <v>0</v>
      </c>
    </row>
    <row r="106" spans="1:150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2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3">
        <f>DAY(DN106)</f>
        <v>0</v>
      </c>
      <c r="EG106" s="3">
        <f>HOUR(DN106)</f>
        <v>0</v>
      </c>
      <c r="EH106" s="3">
        <f>MINUTE(DN106)</f>
        <v>0</v>
      </c>
      <c r="EI106" s="3">
        <f>SECOND(DN106)</f>
        <v>0</v>
      </c>
      <c r="EJ106" s="3" t="str">
        <f>IF(BW106="","",DAY(BW106))</f>
        <v/>
      </c>
      <c r="EK106" s="3" t="str">
        <f>IF(BW106="","",HOUR(BW106))</f>
        <v/>
      </c>
      <c r="EL106" s="3" t="str">
        <f>IF(BW106="","",MINUTE(BW106))</f>
        <v/>
      </c>
      <c r="EM106" s="3" t="str">
        <f>IF(BW106="","",SECOND(BW106))</f>
        <v/>
      </c>
      <c r="EN106" s="4">
        <f t="shared" si="17"/>
        <v>999</v>
      </c>
      <c r="EO106" s="3" t="str">
        <f>IF(DJ106="","",DAY(DJ106))</f>
        <v/>
      </c>
      <c r="EP106" s="3" t="str">
        <f>IF(DJ106="","",HOUR(DJ106))</f>
        <v/>
      </c>
      <c r="EQ106" s="3" t="str">
        <f>IF(DJ106="","",MINUTE(DJ106))</f>
        <v/>
      </c>
      <c r="ER106" s="3" t="str">
        <f>IF(DJ106="","",SECOND(DJ106))</f>
        <v/>
      </c>
      <c r="ES106" s="4">
        <f>BW106-DJ106</f>
        <v>0</v>
      </c>
      <c r="ET106" s="5">
        <f t="shared" si="16"/>
        <v>0</v>
      </c>
    </row>
    <row r="107" spans="1:150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2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3">
        <f>DAY(DN107)</f>
        <v>0</v>
      </c>
      <c r="EG107" s="3">
        <f>HOUR(DN107)</f>
        <v>0</v>
      </c>
      <c r="EH107" s="3">
        <f>MINUTE(DN107)</f>
        <v>0</v>
      </c>
      <c r="EI107" s="3">
        <f>SECOND(DN107)</f>
        <v>0</v>
      </c>
      <c r="EJ107" s="3" t="str">
        <f>IF(BW107="","",DAY(BW107))</f>
        <v/>
      </c>
      <c r="EK107" s="3" t="str">
        <f>IF(BW107="","",HOUR(BW107))</f>
        <v/>
      </c>
      <c r="EL107" s="3" t="str">
        <f>IF(BW107="","",MINUTE(BW107))</f>
        <v/>
      </c>
      <c r="EM107" s="3" t="str">
        <f>IF(BW107="","",SECOND(BW107))</f>
        <v/>
      </c>
      <c r="EN107" s="4">
        <f t="shared" si="17"/>
        <v>999</v>
      </c>
      <c r="EO107" s="3" t="str">
        <f>IF(DJ107="","",DAY(DJ107))</f>
        <v/>
      </c>
      <c r="EP107" s="3" t="str">
        <f>IF(DJ107="","",HOUR(DJ107))</f>
        <v/>
      </c>
      <c r="EQ107" s="3" t="str">
        <f>IF(DJ107="","",MINUTE(DJ107))</f>
        <v/>
      </c>
      <c r="ER107" s="3" t="str">
        <f>IF(DJ107="","",SECOND(DJ107))</f>
        <v/>
      </c>
      <c r="ES107" s="4">
        <f>BW107-DJ107</f>
        <v>0</v>
      </c>
      <c r="ET107" s="5">
        <f t="shared" si="16"/>
        <v>0</v>
      </c>
    </row>
    <row r="108" spans="1:150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2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3">
        <f>DAY(DN108)</f>
        <v>0</v>
      </c>
      <c r="EG108" s="3">
        <f>HOUR(DN108)</f>
        <v>0</v>
      </c>
      <c r="EH108" s="3">
        <f>MINUTE(DN108)</f>
        <v>0</v>
      </c>
      <c r="EI108" s="3">
        <f>SECOND(DN108)</f>
        <v>0</v>
      </c>
      <c r="EJ108" s="3" t="str">
        <f>IF(BW108="","",DAY(BW108))</f>
        <v/>
      </c>
      <c r="EK108" s="3" t="str">
        <f>IF(BW108="","",HOUR(BW108))</f>
        <v/>
      </c>
      <c r="EL108" s="3" t="str">
        <f>IF(BW108="","",MINUTE(BW108))</f>
        <v/>
      </c>
      <c r="EM108" s="3" t="str">
        <f>IF(BW108="","",SECOND(BW108))</f>
        <v/>
      </c>
      <c r="EN108" s="4">
        <f t="shared" si="17"/>
        <v>999</v>
      </c>
      <c r="EO108" s="3" t="str">
        <f>IF(DJ108="","",DAY(DJ108))</f>
        <v/>
      </c>
      <c r="EP108" s="3" t="str">
        <f>IF(DJ108="","",HOUR(DJ108))</f>
        <v/>
      </c>
      <c r="EQ108" s="3" t="str">
        <f>IF(DJ108="","",MINUTE(DJ108))</f>
        <v/>
      </c>
      <c r="ER108" s="3" t="str">
        <f>IF(DJ108="","",SECOND(DJ108))</f>
        <v/>
      </c>
      <c r="ES108" s="4">
        <f>BW108-DJ108</f>
        <v>0</v>
      </c>
      <c r="ET108" s="5">
        <f t="shared" si="16"/>
        <v>0</v>
      </c>
    </row>
    <row r="109" spans="1:150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2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3">
        <f>DAY(DN109)</f>
        <v>0</v>
      </c>
      <c r="EG109" s="3">
        <f>HOUR(DN109)</f>
        <v>0</v>
      </c>
      <c r="EH109" s="3">
        <f>MINUTE(DN109)</f>
        <v>0</v>
      </c>
      <c r="EI109" s="3">
        <f>SECOND(DN109)</f>
        <v>0</v>
      </c>
      <c r="EJ109" s="3" t="str">
        <f>IF(BW109="","",DAY(BW109))</f>
        <v/>
      </c>
      <c r="EK109" s="3" t="str">
        <f>IF(BW109="","",HOUR(BW109))</f>
        <v/>
      </c>
      <c r="EL109" s="3" t="str">
        <f>IF(BW109="","",MINUTE(BW109))</f>
        <v/>
      </c>
      <c r="EM109" s="3" t="str">
        <f>IF(BW109="","",SECOND(BW109))</f>
        <v/>
      </c>
      <c r="EN109" s="4">
        <f t="shared" si="17"/>
        <v>999</v>
      </c>
      <c r="EO109" s="3" t="str">
        <f>IF(DJ109="","",DAY(DJ109))</f>
        <v/>
      </c>
      <c r="EP109" s="3" t="str">
        <f>IF(DJ109="","",HOUR(DJ109))</f>
        <v/>
      </c>
      <c r="EQ109" s="3" t="str">
        <f>IF(DJ109="","",MINUTE(DJ109))</f>
        <v/>
      </c>
      <c r="ER109" s="3" t="str">
        <f>IF(DJ109="","",SECOND(DJ109))</f>
        <v/>
      </c>
      <c r="ES109" s="4">
        <f>BW109-DJ109</f>
        <v>0</v>
      </c>
      <c r="ET109" s="5">
        <f t="shared" si="16"/>
        <v>0</v>
      </c>
    </row>
    <row r="110" spans="1:150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2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3">
        <f>DAY(DN110)</f>
        <v>0</v>
      </c>
      <c r="EG110" s="3">
        <f>HOUR(DN110)</f>
        <v>0</v>
      </c>
      <c r="EH110" s="3">
        <f>MINUTE(DN110)</f>
        <v>0</v>
      </c>
      <c r="EI110" s="3">
        <f>SECOND(DN110)</f>
        <v>0</v>
      </c>
      <c r="EJ110" s="3" t="str">
        <f>IF(BW110="","",DAY(BW110))</f>
        <v/>
      </c>
      <c r="EK110" s="3" t="str">
        <f>IF(BW110="","",HOUR(BW110))</f>
        <v/>
      </c>
      <c r="EL110" s="3" t="str">
        <f>IF(BW110="","",MINUTE(BW110))</f>
        <v/>
      </c>
      <c r="EM110" s="3" t="str">
        <f>IF(BW110="","",SECOND(BW110))</f>
        <v/>
      </c>
      <c r="EN110" s="4">
        <f t="shared" si="17"/>
        <v>999</v>
      </c>
      <c r="EO110" s="3" t="str">
        <f>IF(DJ110="","",DAY(DJ110))</f>
        <v/>
      </c>
      <c r="EP110" s="3" t="str">
        <f>IF(DJ110="","",HOUR(DJ110))</f>
        <v/>
      </c>
      <c r="EQ110" s="3" t="str">
        <f>IF(DJ110="","",MINUTE(DJ110))</f>
        <v/>
      </c>
      <c r="ER110" s="3" t="str">
        <f>IF(DJ110="","",SECOND(DJ110))</f>
        <v/>
      </c>
      <c r="ES110" s="4">
        <f>BW110-DJ110</f>
        <v>0</v>
      </c>
      <c r="ET110" s="5">
        <f t="shared" si="16"/>
        <v>0</v>
      </c>
    </row>
    <row r="111" spans="1:150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2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3">
        <f>DAY(DN111)</f>
        <v>0</v>
      </c>
      <c r="EG111" s="3">
        <f>HOUR(DN111)</f>
        <v>0</v>
      </c>
      <c r="EH111" s="3">
        <f>MINUTE(DN111)</f>
        <v>0</v>
      </c>
      <c r="EI111" s="3">
        <f>SECOND(DN111)</f>
        <v>0</v>
      </c>
      <c r="EJ111" s="3" t="str">
        <f>IF(BW111="","",DAY(BW111))</f>
        <v/>
      </c>
      <c r="EK111" s="3" t="str">
        <f>IF(BW111="","",HOUR(BW111))</f>
        <v/>
      </c>
      <c r="EL111" s="3" t="str">
        <f>IF(BW111="","",MINUTE(BW111))</f>
        <v/>
      </c>
      <c r="EM111" s="3" t="str">
        <f>IF(BW111="","",SECOND(BW111))</f>
        <v/>
      </c>
      <c r="EN111" s="4">
        <f t="shared" si="17"/>
        <v>999</v>
      </c>
      <c r="EO111" s="3" t="str">
        <f>IF(DJ111="","",DAY(DJ111))</f>
        <v/>
      </c>
      <c r="EP111" s="3" t="str">
        <f>IF(DJ111="","",HOUR(DJ111))</f>
        <v/>
      </c>
      <c r="EQ111" s="3" t="str">
        <f>IF(DJ111="","",MINUTE(DJ111))</f>
        <v/>
      </c>
      <c r="ER111" s="3" t="str">
        <f>IF(DJ111="","",SECOND(DJ111))</f>
        <v/>
      </c>
      <c r="ES111" s="4">
        <f>BW111-DJ111</f>
        <v>0</v>
      </c>
      <c r="ET111" s="5">
        <f t="shared" si="16"/>
        <v>0</v>
      </c>
    </row>
    <row r="112" spans="1:150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2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3">
        <f>DAY(DN112)</f>
        <v>0</v>
      </c>
      <c r="EG112" s="3">
        <f>HOUR(DN112)</f>
        <v>0</v>
      </c>
      <c r="EH112" s="3">
        <f>MINUTE(DN112)</f>
        <v>0</v>
      </c>
      <c r="EI112" s="3">
        <f>SECOND(DN112)</f>
        <v>0</v>
      </c>
      <c r="EJ112" s="3" t="str">
        <f>IF(BW112="","",DAY(BW112))</f>
        <v/>
      </c>
      <c r="EK112" s="3" t="str">
        <f>IF(BW112="","",HOUR(BW112))</f>
        <v/>
      </c>
      <c r="EL112" s="3" t="str">
        <f>IF(BW112="","",MINUTE(BW112))</f>
        <v/>
      </c>
      <c r="EM112" s="3" t="str">
        <f>IF(BW112="","",SECOND(BW112))</f>
        <v/>
      </c>
      <c r="EN112" s="4">
        <f t="shared" si="17"/>
        <v>999</v>
      </c>
      <c r="EO112" s="3" t="str">
        <f>IF(DJ112="","",DAY(DJ112))</f>
        <v/>
      </c>
      <c r="EP112" s="3" t="str">
        <f>IF(DJ112="","",HOUR(DJ112))</f>
        <v/>
      </c>
      <c r="EQ112" s="3" t="str">
        <f>IF(DJ112="","",MINUTE(DJ112))</f>
        <v/>
      </c>
      <c r="ER112" s="3" t="str">
        <f>IF(DJ112="","",SECOND(DJ112))</f>
        <v/>
      </c>
      <c r="ES112" s="4">
        <f>BW112-DJ112</f>
        <v>0</v>
      </c>
      <c r="ET112" s="5">
        <f t="shared" si="16"/>
        <v>0</v>
      </c>
    </row>
    <row r="113" spans="1:150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2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3">
        <f>DAY(DN113)</f>
        <v>0</v>
      </c>
      <c r="EG113" s="3">
        <f>HOUR(DN113)</f>
        <v>0</v>
      </c>
      <c r="EH113" s="3">
        <f>MINUTE(DN113)</f>
        <v>0</v>
      </c>
      <c r="EI113" s="3">
        <f>SECOND(DN113)</f>
        <v>0</v>
      </c>
      <c r="EJ113" s="3" t="str">
        <f>IF(BW113="","",DAY(BW113))</f>
        <v/>
      </c>
      <c r="EK113" s="3" t="str">
        <f>IF(BW113="","",HOUR(BW113))</f>
        <v/>
      </c>
      <c r="EL113" s="3" t="str">
        <f>IF(BW113="","",MINUTE(BW113))</f>
        <v/>
      </c>
      <c r="EM113" s="3" t="str">
        <f>IF(BW113="","",SECOND(BW113))</f>
        <v/>
      </c>
      <c r="EN113" s="4">
        <f t="shared" si="17"/>
        <v>999</v>
      </c>
      <c r="EO113" s="3" t="str">
        <f>IF(DJ113="","",DAY(DJ113))</f>
        <v/>
      </c>
      <c r="EP113" s="3" t="str">
        <f>IF(DJ113="","",HOUR(DJ113))</f>
        <v/>
      </c>
      <c r="EQ113" s="3" t="str">
        <f>IF(DJ113="","",MINUTE(DJ113))</f>
        <v/>
      </c>
      <c r="ER113" s="3" t="str">
        <f>IF(DJ113="","",SECOND(DJ113))</f>
        <v/>
      </c>
      <c r="ES113" s="4">
        <f>BW113-DJ113</f>
        <v>0</v>
      </c>
      <c r="ET113" s="5">
        <f t="shared" si="16"/>
        <v>0</v>
      </c>
    </row>
    <row r="114" spans="1:150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2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3">
        <f>DAY(DN114)</f>
        <v>0</v>
      </c>
      <c r="EG114" s="3">
        <f>HOUR(DN114)</f>
        <v>0</v>
      </c>
      <c r="EH114" s="3">
        <f>MINUTE(DN114)</f>
        <v>0</v>
      </c>
      <c r="EI114" s="3">
        <f>SECOND(DN114)</f>
        <v>0</v>
      </c>
      <c r="EJ114" s="3" t="str">
        <f>IF(BW114="","",DAY(BW114))</f>
        <v/>
      </c>
      <c r="EK114" s="3" t="str">
        <f>IF(BW114="","",HOUR(BW114))</f>
        <v/>
      </c>
      <c r="EL114" s="3" t="str">
        <f>IF(BW114="","",MINUTE(BW114))</f>
        <v/>
      </c>
      <c r="EM114" s="3" t="str">
        <f>IF(BW114="","",SECOND(BW114))</f>
        <v/>
      </c>
      <c r="EN114" s="4">
        <f t="shared" si="17"/>
        <v>999</v>
      </c>
      <c r="EO114" s="3" t="str">
        <f>IF(DJ114="","",DAY(DJ114))</f>
        <v/>
      </c>
      <c r="EP114" s="3" t="str">
        <f>IF(DJ114="","",HOUR(DJ114))</f>
        <v/>
      </c>
      <c r="EQ114" s="3" t="str">
        <f>IF(DJ114="","",MINUTE(DJ114))</f>
        <v/>
      </c>
      <c r="ER114" s="3" t="str">
        <f>IF(DJ114="","",SECOND(DJ114))</f>
        <v/>
      </c>
      <c r="ES114" s="4">
        <f>BW114-DJ114</f>
        <v>0</v>
      </c>
      <c r="ET114" s="5">
        <f t="shared" si="16"/>
        <v>0</v>
      </c>
    </row>
    <row r="115" spans="1:150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2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3">
        <f>DAY(DN115)</f>
        <v>0</v>
      </c>
      <c r="EG115" s="3">
        <f>HOUR(DN115)</f>
        <v>0</v>
      </c>
      <c r="EH115" s="3">
        <f>MINUTE(DN115)</f>
        <v>0</v>
      </c>
      <c r="EI115" s="3">
        <f>SECOND(DN115)</f>
        <v>0</v>
      </c>
      <c r="EJ115" s="3" t="str">
        <f>IF(BW115="","",DAY(BW115))</f>
        <v/>
      </c>
      <c r="EK115" s="3" t="str">
        <f>IF(BW115="","",HOUR(BW115))</f>
        <v/>
      </c>
      <c r="EL115" s="3" t="str">
        <f>IF(BW115="","",MINUTE(BW115))</f>
        <v/>
      </c>
      <c r="EM115" s="3" t="str">
        <f>IF(BW115="","",SECOND(BW115))</f>
        <v/>
      </c>
      <c r="EN115" s="4">
        <f t="shared" si="17"/>
        <v>999</v>
      </c>
      <c r="EO115" s="3" t="str">
        <f>IF(DJ115="","",DAY(DJ115))</f>
        <v/>
      </c>
      <c r="EP115" s="3" t="str">
        <f>IF(DJ115="","",HOUR(DJ115))</f>
        <v/>
      </c>
      <c r="EQ115" s="3" t="str">
        <f>IF(DJ115="","",MINUTE(DJ115))</f>
        <v/>
      </c>
      <c r="ER115" s="3" t="str">
        <f>IF(DJ115="","",SECOND(DJ115))</f>
        <v/>
      </c>
      <c r="ES115" s="4">
        <f>BW115-DJ115</f>
        <v>0</v>
      </c>
      <c r="ET115" s="5">
        <f t="shared" si="16"/>
        <v>0</v>
      </c>
    </row>
    <row r="116" spans="1:150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2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3">
        <f>DAY(DN116)</f>
        <v>0</v>
      </c>
      <c r="EG116" s="3">
        <f>HOUR(DN116)</f>
        <v>0</v>
      </c>
      <c r="EH116" s="3">
        <f>MINUTE(DN116)</f>
        <v>0</v>
      </c>
      <c r="EI116" s="3">
        <f>SECOND(DN116)</f>
        <v>0</v>
      </c>
      <c r="EJ116" s="3" t="str">
        <f>IF(BW116="","",DAY(BW116))</f>
        <v/>
      </c>
      <c r="EK116" s="3" t="str">
        <f>IF(BW116="","",HOUR(BW116))</f>
        <v/>
      </c>
      <c r="EL116" s="3" t="str">
        <f>IF(BW116="","",MINUTE(BW116))</f>
        <v/>
      </c>
      <c r="EM116" s="3" t="str">
        <f>IF(BW116="","",SECOND(BW116))</f>
        <v/>
      </c>
      <c r="EN116" s="4">
        <f t="shared" si="17"/>
        <v>999</v>
      </c>
      <c r="EO116" s="3" t="str">
        <f>IF(DJ116="","",DAY(DJ116))</f>
        <v/>
      </c>
      <c r="EP116" s="3" t="str">
        <f>IF(DJ116="","",HOUR(DJ116))</f>
        <v/>
      </c>
      <c r="EQ116" s="3" t="str">
        <f>IF(DJ116="","",MINUTE(DJ116))</f>
        <v/>
      </c>
      <c r="ER116" s="3" t="str">
        <f>IF(DJ116="","",SECOND(DJ116))</f>
        <v/>
      </c>
      <c r="ES116" s="4">
        <f>BW116-DJ116</f>
        <v>0</v>
      </c>
      <c r="ET116" s="5">
        <f t="shared" si="16"/>
        <v>0</v>
      </c>
    </row>
    <row r="117" spans="1:150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2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3">
        <f>DAY(DN117)</f>
        <v>0</v>
      </c>
      <c r="EG117" s="3">
        <f>HOUR(DN117)</f>
        <v>0</v>
      </c>
      <c r="EH117" s="3">
        <f>MINUTE(DN117)</f>
        <v>0</v>
      </c>
      <c r="EI117" s="3">
        <f>SECOND(DN117)</f>
        <v>0</v>
      </c>
      <c r="EJ117" s="3" t="str">
        <f>IF(BW117="","",DAY(BW117))</f>
        <v/>
      </c>
      <c r="EK117" s="3" t="str">
        <f>IF(BW117="","",HOUR(BW117))</f>
        <v/>
      </c>
      <c r="EL117" s="3" t="str">
        <f>IF(BW117="","",MINUTE(BW117))</f>
        <v/>
      </c>
      <c r="EM117" s="3" t="str">
        <f>IF(BW117="","",SECOND(BW117))</f>
        <v/>
      </c>
      <c r="EN117" s="4">
        <f t="shared" si="17"/>
        <v>999</v>
      </c>
      <c r="EO117" s="3" t="str">
        <f>IF(DJ117="","",DAY(DJ117))</f>
        <v/>
      </c>
      <c r="EP117" s="3" t="str">
        <f>IF(DJ117="","",HOUR(DJ117))</f>
        <v/>
      </c>
      <c r="EQ117" s="3" t="str">
        <f>IF(DJ117="","",MINUTE(DJ117))</f>
        <v/>
      </c>
      <c r="ER117" s="3" t="str">
        <f>IF(DJ117="","",SECOND(DJ117))</f>
        <v/>
      </c>
      <c r="ES117" s="4">
        <f>BW117-DJ117</f>
        <v>0</v>
      </c>
      <c r="ET117" s="5">
        <f t="shared" si="16"/>
        <v>0</v>
      </c>
    </row>
    <row r="118" spans="1:150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2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3">
        <f>DAY(DN118)</f>
        <v>0</v>
      </c>
      <c r="EG118" s="3">
        <f>HOUR(DN118)</f>
        <v>0</v>
      </c>
      <c r="EH118" s="3">
        <f>MINUTE(DN118)</f>
        <v>0</v>
      </c>
      <c r="EI118" s="3">
        <f>SECOND(DN118)</f>
        <v>0</v>
      </c>
      <c r="EJ118" s="3" t="str">
        <f>IF(BW118="","",DAY(BW118))</f>
        <v/>
      </c>
      <c r="EK118" s="3" t="str">
        <f>IF(BW118="","",HOUR(BW118))</f>
        <v/>
      </c>
      <c r="EL118" s="3" t="str">
        <f>IF(BW118="","",MINUTE(BW118))</f>
        <v/>
      </c>
      <c r="EM118" s="3" t="str">
        <f>IF(BW118="","",SECOND(BW118))</f>
        <v/>
      </c>
      <c r="EN118" s="4">
        <f t="shared" si="17"/>
        <v>999</v>
      </c>
      <c r="EO118" s="3" t="str">
        <f>IF(DJ118="","",DAY(DJ118))</f>
        <v/>
      </c>
      <c r="EP118" s="3" t="str">
        <f>IF(DJ118="","",HOUR(DJ118))</f>
        <v/>
      </c>
      <c r="EQ118" s="3" t="str">
        <f>IF(DJ118="","",MINUTE(DJ118))</f>
        <v/>
      </c>
      <c r="ER118" s="3" t="str">
        <f>IF(DJ118="","",SECOND(DJ118))</f>
        <v/>
      </c>
      <c r="ES118" s="4">
        <f>BW118-DJ118</f>
        <v>0</v>
      </c>
      <c r="ET118" s="5">
        <f t="shared" si="16"/>
        <v>0</v>
      </c>
    </row>
    <row r="119" spans="1:150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2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3">
        <f>DAY(DN119)</f>
        <v>0</v>
      </c>
      <c r="EG119" s="3">
        <f>HOUR(DN119)</f>
        <v>0</v>
      </c>
      <c r="EH119" s="3">
        <f>MINUTE(DN119)</f>
        <v>0</v>
      </c>
      <c r="EI119" s="3">
        <f>SECOND(DN119)</f>
        <v>0</v>
      </c>
      <c r="EJ119" s="3" t="str">
        <f>IF(BW119="","",DAY(BW119))</f>
        <v/>
      </c>
      <c r="EK119" s="3" t="str">
        <f>IF(BW119="","",HOUR(BW119))</f>
        <v/>
      </c>
      <c r="EL119" s="3" t="str">
        <f>IF(BW119="","",MINUTE(BW119))</f>
        <v/>
      </c>
      <c r="EM119" s="3" t="str">
        <f>IF(BW119="","",SECOND(BW119))</f>
        <v/>
      </c>
      <c r="EN119" s="4">
        <f t="shared" si="17"/>
        <v>999</v>
      </c>
      <c r="EO119" s="3" t="str">
        <f>IF(DJ119="","",DAY(DJ119))</f>
        <v/>
      </c>
      <c r="EP119" s="3" t="str">
        <f>IF(DJ119="","",HOUR(DJ119))</f>
        <v/>
      </c>
      <c r="EQ119" s="3" t="str">
        <f>IF(DJ119="","",MINUTE(DJ119))</f>
        <v/>
      </c>
      <c r="ER119" s="3" t="str">
        <f>IF(DJ119="","",SECOND(DJ119))</f>
        <v/>
      </c>
      <c r="ES119" s="4">
        <f>BW119-DJ119</f>
        <v>0</v>
      </c>
      <c r="ET119" s="5">
        <f t="shared" si="16"/>
        <v>0</v>
      </c>
    </row>
    <row r="120" spans="1:150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2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3">
        <f>DAY(DN120)</f>
        <v>0</v>
      </c>
      <c r="EG120" s="3">
        <f>HOUR(DN120)</f>
        <v>0</v>
      </c>
      <c r="EH120" s="3">
        <f>MINUTE(DN120)</f>
        <v>0</v>
      </c>
      <c r="EI120" s="3">
        <f>SECOND(DN120)</f>
        <v>0</v>
      </c>
      <c r="EJ120" s="3" t="str">
        <f>IF(BW120="","",DAY(BW120))</f>
        <v/>
      </c>
      <c r="EK120" s="3" t="str">
        <f>IF(BW120="","",HOUR(BW120))</f>
        <v/>
      </c>
      <c r="EL120" s="3" t="str">
        <f>IF(BW120="","",MINUTE(BW120))</f>
        <v/>
      </c>
      <c r="EM120" s="3" t="str">
        <f>IF(BW120="","",SECOND(BW120))</f>
        <v/>
      </c>
      <c r="EN120" s="4">
        <f t="shared" si="17"/>
        <v>999</v>
      </c>
      <c r="EO120" s="3" t="str">
        <f>IF(DJ120="","",DAY(DJ120))</f>
        <v/>
      </c>
      <c r="EP120" s="3" t="str">
        <f>IF(DJ120="","",HOUR(DJ120))</f>
        <v/>
      </c>
      <c r="EQ120" s="3" t="str">
        <f>IF(DJ120="","",MINUTE(DJ120))</f>
        <v/>
      </c>
      <c r="ER120" s="3" t="str">
        <f>IF(DJ120="","",SECOND(DJ120))</f>
        <v/>
      </c>
      <c r="ES120" s="4">
        <f>BW120-DJ120</f>
        <v>0</v>
      </c>
      <c r="ET120" s="5">
        <f t="shared" si="16"/>
        <v>0</v>
      </c>
    </row>
    <row r="121" spans="1:150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2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3">
        <f>DAY(DN121)</f>
        <v>0</v>
      </c>
      <c r="EG121" s="3">
        <f>HOUR(DN121)</f>
        <v>0</v>
      </c>
      <c r="EH121" s="3">
        <f>MINUTE(DN121)</f>
        <v>0</v>
      </c>
      <c r="EI121" s="3">
        <f>SECOND(DN121)</f>
        <v>0</v>
      </c>
      <c r="EJ121" s="3" t="str">
        <f>IF(BW121="","",DAY(BW121))</f>
        <v/>
      </c>
      <c r="EK121" s="3" t="str">
        <f>IF(BW121="","",HOUR(BW121))</f>
        <v/>
      </c>
      <c r="EL121" s="3" t="str">
        <f>IF(BW121="","",MINUTE(BW121))</f>
        <v/>
      </c>
      <c r="EM121" s="3" t="str">
        <f>IF(BW121="","",SECOND(BW121))</f>
        <v/>
      </c>
      <c r="EN121" s="4">
        <f t="shared" si="17"/>
        <v>999</v>
      </c>
      <c r="EO121" s="3" t="str">
        <f>IF(DJ121="","",DAY(DJ121))</f>
        <v/>
      </c>
      <c r="EP121" s="3" t="str">
        <f>IF(DJ121="","",HOUR(DJ121))</f>
        <v/>
      </c>
      <c r="EQ121" s="3" t="str">
        <f>IF(DJ121="","",MINUTE(DJ121))</f>
        <v/>
      </c>
      <c r="ER121" s="3" t="str">
        <f>IF(DJ121="","",SECOND(DJ121))</f>
        <v/>
      </c>
      <c r="ES121" s="4">
        <f>BW121-DJ121</f>
        <v>0</v>
      </c>
      <c r="ET121" s="5">
        <f t="shared" si="16"/>
        <v>0</v>
      </c>
    </row>
    <row r="122" spans="1:150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2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3">
        <f>DAY(DN122)</f>
        <v>0</v>
      </c>
      <c r="EG122" s="3">
        <f>HOUR(DN122)</f>
        <v>0</v>
      </c>
      <c r="EH122" s="3">
        <f>MINUTE(DN122)</f>
        <v>0</v>
      </c>
      <c r="EI122" s="3">
        <f>SECOND(DN122)</f>
        <v>0</v>
      </c>
      <c r="EJ122" s="3" t="str">
        <f>IF(BW122="","",DAY(BW122))</f>
        <v/>
      </c>
      <c r="EK122" s="3" t="str">
        <f>IF(BW122="","",HOUR(BW122))</f>
        <v/>
      </c>
      <c r="EL122" s="3" t="str">
        <f>IF(BW122="","",MINUTE(BW122))</f>
        <v/>
      </c>
      <c r="EM122" s="3" t="str">
        <f>IF(BW122="","",SECOND(BW122))</f>
        <v/>
      </c>
      <c r="EN122" s="4">
        <f t="shared" si="17"/>
        <v>999</v>
      </c>
      <c r="EO122" s="3" t="str">
        <f>IF(DJ122="","",DAY(DJ122))</f>
        <v/>
      </c>
      <c r="EP122" s="3" t="str">
        <f>IF(DJ122="","",HOUR(DJ122))</f>
        <v/>
      </c>
      <c r="EQ122" s="3" t="str">
        <f>IF(DJ122="","",MINUTE(DJ122))</f>
        <v/>
      </c>
      <c r="ER122" s="3" t="str">
        <f>IF(DJ122="","",SECOND(DJ122))</f>
        <v/>
      </c>
      <c r="ES122" s="4">
        <f>BW122-DJ122</f>
        <v>0</v>
      </c>
      <c r="ET122" s="5">
        <f t="shared" si="16"/>
        <v>0</v>
      </c>
    </row>
    <row r="123" spans="1:150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2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3">
        <f>DAY(DN123)</f>
        <v>0</v>
      </c>
      <c r="EG123" s="3">
        <f>HOUR(DN123)</f>
        <v>0</v>
      </c>
      <c r="EH123" s="3">
        <f>MINUTE(DN123)</f>
        <v>0</v>
      </c>
      <c r="EI123" s="3">
        <f>SECOND(DN123)</f>
        <v>0</v>
      </c>
      <c r="EJ123" s="3" t="str">
        <f>IF(BW123="","",DAY(BW123))</f>
        <v/>
      </c>
      <c r="EK123" s="3" t="str">
        <f>IF(BW123="","",HOUR(BW123))</f>
        <v/>
      </c>
      <c r="EL123" s="3" t="str">
        <f>IF(BW123="","",MINUTE(BW123))</f>
        <v/>
      </c>
      <c r="EM123" s="3" t="str">
        <f>IF(BW123="","",SECOND(BW123))</f>
        <v/>
      </c>
      <c r="EN123" s="4">
        <f t="shared" si="17"/>
        <v>999</v>
      </c>
      <c r="EO123" s="3" t="str">
        <f>IF(DJ123="","",DAY(DJ123))</f>
        <v/>
      </c>
      <c r="EP123" s="3" t="str">
        <f>IF(DJ123="","",HOUR(DJ123))</f>
        <v/>
      </c>
      <c r="EQ123" s="3" t="str">
        <f>IF(DJ123="","",MINUTE(DJ123))</f>
        <v/>
      </c>
      <c r="ER123" s="3" t="str">
        <f>IF(DJ123="","",SECOND(DJ123))</f>
        <v/>
      </c>
      <c r="ES123" s="4">
        <f>BW123-DJ123</f>
        <v>0</v>
      </c>
      <c r="ET123" s="5">
        <f t="shared" si="16"/>
        <v>0</v>
      </c>
    </row>
    <row r="124" spans="1:150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2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3">
        <f>DAY(DN124)</f>
        <v>0</v>
      </c>
      <c r="EG124" s="3">
        <f>HOUR(DN124)</f>
        <v>0</v>
      </c>
      <c r="EH124" s="3">
        <f>MINUTE(DN124)</f>
        <v>0</v>
      </c>
      <c r="EI124" s="3">
        <f>SECOND(DN124)</f>
        <v>0</v>
      </c>
      <c r="EJ124" s="3" t="str">
        <f>IF(BW124="","",DAY(BW124))</f>
        <v/>
      </c>
      <c r="EK124" s="3" t="str">
        <f>IF(BW124="","",HOUR(BW124))</f>
        <v/>
      </c>
      <c r="EL124" s="3" t="str">
        <f>IF(BW124="","",MINUTE(BW124))</f>
        <v/>
      </c>
      <c r="EM124" s="3" t="str">
        <f>IF(BW124="","",SECOND(BW124))</f>
        <v/>
      </c>
      <c r="EN124" s="4">
        <f t="shared" si="17"/>
        <v>999</v>
      </c>
      <c r="EO124" s="3" t="str">
        <f>IF(DJ124="","",DAY(DJ124))</f>
        <v/>
      </c>
      <c r="EP124" s="3" t="str">
        <f>IF(DJ124="","",HOUR(DJ124))</f>
        <v/>
      </c>
      <c r="EQ124" s="3" t="str">
        <f>IF(DJ124="","",MINUTE(DJ124))</f>
        <v/>
      </c>
      <c r="ER124" s="3" t="str">
        <f>IF(DJ124="","",SECOND(DJ124))</f>
        <v/>
      </c>
      <c r="ES124" s="4">
        <f>BW124-DJ124</f>
        <v>0</v>
      </c>
      <c r="ET124" s="5">
        <f t="shared" si="16"/>
        <v>0</v>
      </c>
    </row>
    <row r="125" spans="1:150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2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3">
        <f>DAY(DN125)</f>
        <v>0</v>
      </c>
      <c r="EG125" s="3">
        <f>HOUR(DN125)</f>
        <v>0</v>
      </c>
      <c r="EH125" s="3">
        <f>MINUTE(DN125)</f>
        <v>0</v>
      </c>
      <c r="EI125" s="3">
        <f>SECOND(DN125)</f>
        <v>0</v>
      </c>
      <c r="EJ125" s="3" t="str">
        <f>IF(BW125="","",DAY(BW125))</f>
        <v/>
      </c>
      <c r="EK125" s="3" t="str">
        <f>IF(BW125="","",HOUR(BW125))</f>
        <v/>
      </c>
      <c r="EL125" s="3" t="str">
        <f>IF(BW125="","",MINUTE(BW125))</f>
        <v/>
      </c>
      <c r="EM125" s="3" t="str">
        <f>IF(BW125="","",SECOND(BW125))</f>
        <v/>
      </c>
      <c r="EN125" s="4">
        <f t="shared" si="17"/>
        <v>999</v>
      </c>
      <c r="EO125" s="3" t="str">
        <f>IF(DJ125="","",DAY(DJ125))</f>
        <v/>
      </c>
      <c r="EP125" s="3" t="str">
        <f>IF(DJ125="","",HOUR(DJ125))</f>
        <v/>
      </c>
      <c r="EQ125" s="3" t="str">
        <f>IF(DJ125="","",MINUTE(DJ125))</f>
        <v/>
      </c>
      <c r="ER125" s="3" t="str">
        <f>IF(DJ125="","",SECOND(DJ125))</f>
        <v/>
      </c>
      <c r="ES125" s="4">
        <f>BW125-DJ125</f>
        <v>0</v>
      </c>
      <c r="ET125" s="5">
        <f t="shared" si="16"/>
        <v>0</v>
      </c>
    </row>
    <row r="126" spans="1:150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2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3">
        <f>DAY(DN126)</f>
        <v>0</v>
      </c>
      <c r="EG126" s="3">
        <f>HOUR(DN126)</f>
        <v>0</v>
      </c>
      <c r="EH126" s="3">
        <f>MINUTE(DN126)</f>
        <v>0</v>
      </c>
      <c r="EI126" s="3">
        <f>SECOND(DN126)</f>
        <v>0</v>
      </c>
      <c r="EJ126" s="3" t="str">
        <f>IF(BW126="","",DAY(BW126))</f>
        <v/>
      </c>
      <c r="EK126" s="3" t="str">
        <f>IF(BW126="","",HOUR(BW126))</f>
        <v/>
      </c>
      <c r="EL126" s="3" t="str">
        <f>IF(BW126="","",MINUTE(BW126))</f>
        <v/>
      </c>
      <c r="EM126" s="3" t="str">
        <f>IF(BW126="","",SECOND(BW126))</f>
        <v/>
      </c>
      <c r="EN126" s="4">
        <f t="shared" si="17"/>
        <v>999</v>
      </c>
      <c r="EO126" s="3" t="str">
        <f>IF(DJ126="","",DAY(DJ126))</f>
        <v/>
      </c>
      <c r="EP126" s="3" t="str">
        <f>IF(DJ126="","",HOUR(DJ126))</f>
        <v/>
      </c>
      <c r="EQ126" s="3" t="str">
        <f>IF(DJ126="","",MINUTE(DJ126))</f>
        <v/>
      </c>
      <c r="ER126" s="3" t="str">
        <f>IF(DJ126="","",SECOND(DJ126))</f>
        <v/>
      </c>
      <c r="ES126" s="4">
        <f>BW126-DJ126</f>
        <v>0</v>
      </c>
      <c r="ET126" s="5">
        <f t="shared" si="16"/>
        <v>0</v>
      </c>
    </row>
    <row r="127" spans="1:150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2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3">
        <f>DAY(DN127)</f>
        <v>0</v>
      </c>
      <c r="EG127" s="3">
        <f>HOUR(DN127)</f>
        <v>0</v>
      </c>
      <c r="EH127" s="3">
        <f>MINUTE(DN127)</f>
        <v>0</v>
      </c>
      <c r="EI127" s="3">
        <f>SECOND(DN127)</f>
        <v>0</v>
      </c>
      <c r="EJ127" s="3" t="str">
        <f>IF(BW127="","",DAY(BW127))</f>
        <v/>
      </c>
      <c r="EK127" s="3" t="str">
        <f>IF(BW127="","",HOUR(BW127))</f>
        <v/>
      </c>
      <c r="EL127" s="3" t="str">
        <f>IF(BW127="","",MINUTE(BW127))</f>
        <v/>
      </c>
      <c r="EM127" s="3" t="str">
        <f>IF(BW127="","",SECOND(BW127))</f>
        <v/>
      </c>
      <c r="EN127" s="4">
        <f t="shared" si="17"/>
        <v>999</v>
      </c>
      <c r="EO127" s="3" t="str">
        <f>IF(DJ127="","",DAY(DJ127))</f>
        <v/>
      </c>
      <c r="EP127" s="3" t="str">
        <f>IF(DJ127="","",HOUR(DJ127))</f>
        <v/>
      </c>
      <c r="EQ127" s="3" t="str">
        <f>IF(DJ127="","",MINUTE(DJ127))</f>
        <v/>
      </c>
      <c r="ER127" s="3" t="str">
        <f>IF(DJ127="","",SECOND(DJ127))</f>
        <v/>
      </c>
      <c r="ES127" s="4">
        <f>BW127-DJ127</f>
        <v>0</v>
      </c>
      <c r="ET127" s="5">
        <f t="shared" si="16"/>
        <v>0</v>
      </c>
    </row>
    <row r="128" spans="1:150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2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3">
        <f>DAY(DN128)</f>
        <v>0</v>
      </c>
      <c r="EG128" s="3">
        <f>HOUR(DN128)</f>
        <v>0</v>
      </c>
      <c r="EH128" s="3">
        <f>MINUTE(DN128)</f>
        <v>0</v>
      </c>
      <c r="EI128" s="3">
        <f>SECOND(DN128)</f>
        <v>0</v>
      </c>
      <c r="EJ128" s="3" t="str">
        <f>IF(BW128="","",DAY(BW128))</f>
        <v/>
      </c>
      <c r="EK128" s="3" t="str">
        <f>IF(BW128="","",HOUR(BW128))</f>
        <v/>
      </c>
      <c r="EL128" s="3" t="str">
        <f>IF(BW128="","",MINUTE(BW128))</f>
        <v/>
      </c>
      <c r="EM128" s="3" t="str">
        <f>IF(BW128="","",SECOND(BW128))</f>
        <v/>
      </c>
      <c r="EN128" s="4">
        <f t="shared" si="17"/>
        <v>999</v>
      </c>
      <c r="EO128" s="3" t="str">
        <f>IF(DJ128="","",DAY(DJ128))</f>
        <v/>
      </c>
      <c r="EP128" s="3" t="str">
        <f>IF(DJ128="","",HOUR(DJ128))</f>
        <v/>
      </c>
      <c r="EQ128" s="3" t="str">
        <f>IF(DJ128="","",MINUTE(DJ128))</f>
        <v/>
      </c>
      <c r="ER128" s="3" t="str">
        <f>IF(DJ128="","",SECOND(DJ128))</f>
        <v/>
      </c>
      <c r="ES128" s="4">
        <f>BW128-DJ128</f>
        <v>0</v>
      </c>
      <c r="ET128" s="5">
        <f t="shared" si="16"/>
        <v>0</v>
      </c>
    </row>
    <row r="129" spans="1:150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2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3">
        <f>DAY(DN129)</f>
        <v>0</v>
      </c>
      <c r="EG129" s="3">
        <f>HOUR(DN129)</f>
        <v>0</v>
      </c>
      <c r="EH129" s="3">
        <f>MINUTE(DN129)</f>
        <v>0</v>
      </c>
      <c r="EI129" s="3">
        <f>SECOND(DN129)</f>
        <v>0</v>
      </c>
      <c r="EJ129" s="3" t="str">
        <f>IF(BW129="","",DAY(BW129))</f>
        <v/>
      </c>
      <c r="EK129" s="3" t="str">
        <f>IF(BW129="","",HOUR(BW129))</f>
        <v/>
      </c>
      <c r="EL129" s="3" t="str">
        <f>IF(BW129="","",MINUTE(BW129))</f>
        <v/>
      </c>
      <c r="EM129" s="3" t="str">
        <f>IF(BW129="","",SECOND(BW129))</f>
        <v/>
      </c>
      <c r="EN129" s="4">
        <f t="shared" si="17"/>
        <v>999</v>
      </c>
      <c r="EO129" s="3" t="str">
        <f>IF(DJ129="","",DAY(DJ129))</f>
        <v/>
      </c>
      <c r="EP129" s="3" t="str">
        <f>IF(DJ129="","",HOUR(DJ129))</f>
        <v/>
      </c>
      <c r="EQ129" s="3" t="str">
        <f>IF(DJ129="","",MINUTE(DJ129))</f>
        <v/>
      </c>
      <c r="ER129" s="3" t="str">
        <f>IF(DJ129="","",SECOND(DJ129))</f>
        <v/>
      </c>
      <c r="ES129" s="4">
        <f>BW129-DJ129</f>
        <v>0</v>
      </c>
      <c r="ET129" s="5">
        <f t="shared" si="16"/>
        <v>0</v>
      </c>
    </row>
    <row r="130" spans="1:150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2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3">
        <f>DAY(DN130)</f>
        <v>0</v>
      </c>
      <c r="EG130" s="3">
        <f>HOUR(DN130)</f>
        <v>0</v>
      </c>
      <c r="EH130" s="3">
        <f>MINUTE(DN130)</f>
        <v>0</v>
      </c>
      <c r="EI130" s="3">
        <f>SECOND(DN130)</f>
        <v>0</v>
      </c>
      <c r="EJ130" s="3" t="str">
        <f>IF(BW130="","",DAY(BW130))</f>
        <v/>
      </c>
      <c r="EK130" s="3" t="str">
        <f>IF(BW130="","",HOUR(BW130))</f>
        <v/>
      </c>
      <c r="EL130" s="3" t="str">
        <f>IF(BW130="","",MINUTE(BW130))</f>
        <v/>
      </c>
      <c r="EM130" s="3" t="str">
        <f>IF(BW130="","",SECOND(BW130))</f>
        <v/>
      </c>
      <c r="EN130" s="4">
        <f t="shared" si="17"/>
        <v>999</v>
      </c>
      <c r="EO130" s="3" t="str">
        <f>IF(DJ130="","",DAY(DJ130))</f>
        <v/>
      </c>
      <c r="EP130" s="3" t="str">
        <f>IF(DJ130="","",HOUR(DJ130))</f>
        <v/>
      </c>
      <c r="EQ130" s="3" t="str">
        <f>IF(DJ130="","",MINUTE(DJ130))</f>
        <v/>
      </c>
      <c r="ER130" s="3" t="str">
        <f>IF(DJ130="","",SECOND(DJ130))</f>
        <v/>
      </c>
      <c r="ES130" s="4">
        <f>BW130-DJ130</f>
        <v>0</v>
      </c>
      <c r="ET130" s="5">
        <f t="shared" ref="ET130:ET193" si="18">ROUND(ES130*60*60*24/60,1)</f>
        <v>0</v>
      </c>
    </row>
    <row r="131" spans="1:150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2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3">
        <f>DAY(DN131)</f>
        <v>0</v>
      </c>
      <c r="EG131" s="3">
        <f>HOUR(DN131)</f>
        <v>0</v>
      </c>
      <c r="EH131" s="3">
        <f>MINUTE(DN131)</f>
        <v>0</v>
      </c>
      <c r="EI131" s="3">
        <f>SECOND(DN131)</f>
        <v>0</v>
      </c>
      <c r="EJ131" s="3" t="str">
        <f>IF(BW131="","",DAY(BW131))</f>
        <v/>
      </c>
      <c r="EK131" s="3" t="str">
        <f>IF(BW131="","",HOUR(BW131))</f>
        <v/>
      </c>
      <c r="EL131" s="3" t="str">
        <f>IF(BW131="","",MINUTE(BW131))</f>
        <v/>
      </c>
      <c r="EM131" s="3" t="str">
        <f>IF(BW131="","",SECOND(BW131))</f>
        <v/>
      </c>
      <c r="EN131" s="4">
        <f t="shared" si="17"/>
        <v>999</v>
      </c>
      <c r="EO131" s="3" t="str">
        <f>IF(DJ131="","",DAY(DJ131))</f>
        <v/>
      </c>
      <c r="EP131" s="3" t="str">
        <f>IF(DJ131="","",HOUR(DJ131))</f>
        <v/>
      </c>
      <c r="EQ131" s="3" t="str">
        <f>IF(DJ131="","",MINUTE(DJ131))</f>
        <v/>
      </c>
      <c r="ER131" s="3" t="str">
        <f>IF(DJ131="","",SECOND(DJ131))</f>
        <v/>
      </c>
      <c r="ES131" s="4">
        <f>BW131-DJ131</f>
        <v>0</v>
      </c>
      <c r="ET131" s="5">
        <f t="shared" si="18"/>
        <v>0</v>
      </c>
    </row>
    <row r="132" spans="1:150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2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3">
        <f>DAY(DN132)</f>
        <v>0</v>
      </c>
      <c r="EG132" s="3">
        <f>HOUR(DN132)</f>
        <v>0</v>
      </c>
      <c r="EH132" s="3">
        <f>MINUTE(DN132)</f>
        <v>0</v>
      </c>
      <c r="EI132" s="3">
        <f>SECOND(DN132)</f>
        <v>0</v>
      </c>
      <c r="EJ132" s="3" t="str">
        <f>IF(BW132="","",DAY(BW132))</f>
        <v/>
      </c>
      <c r="EK132" s="3" t="str">
        <f>IF(BW132="","",HOUR(BW132))</f>
        <v/>
      </c>
      <c r="EL132" s="3" t="str">
        <f>IF(BW132="","",MINUTE(BW132))</f>
        <v/>
      </c>
      <c r="EM132" s="3" t="str">
        <f>IF(BW132="","",SECOND(BW132))</f>
        <v/>
      </c>
      <c r="EN132" s="4">
        <f t="shared" si="17"/>
        <v>999</v>
      </c>
      <c r="EO132" s="3" t="str">
        <f>IF(DJ132="","",DAY(DJ132))</f>
        <v/>
      </c>
      <c r="EP132" s="3" t="str">
        <f>IF(DJ132="","",HOUR(DJ132))</f>
        <v/>
      </c>
      <c r="EQ132" s="3" t="str">
        <f>IF(DJ132="","",MINUTE(DJ132))</f>
        <v/>
      </c>
      <c r="ER132" s="3" t="str">
        <f>IF(DJ132="","",SECOND(DJ132))</f>
        <v/>
      </c>
      <c r="ES132" s="4">
        <f>BW132-DJ132</f>
        <v>0</v>
      </c>
      <c r="ET132" s="5">
        <f t="shared" si="18"/>
        <v>0</v>
      </c>
    </row>
    <row r="133" spans="1:150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2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3">
        <f>DAY(DN133)</f>
        <v>0</v>
      </c>
      <c r="EG133" s="3">
        <f>HOUR(DN133)</f>
        <v>0</v>
      </c>
      <c r="EH133" s="3">
        <f>MINUTE(DN133)</f>
        <v>0</v>
      </c>
      <c r="EI133" s="3">
        <f>SECOND(DN133)</f>
        <v>0</v>
      </c>
      <c r="EJ133" s="3" t="str">
        <f>IF(BW133="","",DAY(BW133))</f>
        <v/>
      </c>
      <c r="EK133" s="3" t="str">
        <f>IF(BW133="","",HOUR(BW133))</f>
        <v/>
      </c>
      <c r="EL133" s="3" t="str">
        <f>IF(BW133="","",MINUTE(BW133))</f>
        <v/>
      </c>
      <c r="EM133" s="3" t="str">
        <f>IF(BW133="","",SECOND(BW133))</f>
        <v/>
      </c>
      <c r="EN133" s="4">
        <f t="shared" si="17"/>
        <v>999</v>
      </c>
      <c r="EO133" s="3" t="str">
        <f>IF(DJ133="","",DAY(DJ133))</f>
        <v/>
      </c>
      <c r="EP133" s="3" t="str">
        <f>IF(DJ133="","",HOUR(DJ133))</f>
        <v/>
      </c>
      <c r="EQ133" s="3" t="str">
        <f>IF(DJ133="","",MINUTE(DJ133))</f>
        <v/>
      </c>
      <c r="ER133" s="3" t="str">
        <f>IF(DJ133="","",SECOND(DJ133))</f>
        <v/>
      </c>
      <c r="ES133" s="4">
        <f>BW133-DJ133</f>
        <v>0</v>
      </c>
      <c r="ET133" s="5">
        <f t="shared" si="18"/>
        <v>0</v>
      </c>
    </row>
    <row r="134" spans="1:150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2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3">
        <f>DAY(DN134)</f>
        <v>0</v>
      </c>
      <c r="EG134" s="3">
        <f>HOUR(DN134)</f>
        <v>0</v>
      </c>
      <c r="EH134" s="3">
        <f>MINUTE(DN134)</f>
        <v>0</v>
      </c>
      <c r="EI134" s="3">
        <f>SECOND(DN134)</f>
        <v>0</v>
      </c>
      <c r="EJ134" s="3" t="str">
        <f>IF(BW134="","",DAY(BW134))</f>
        <v/>
      </c>
      <c r="EK134" s="3" t="str">
        <f>IF(BW134="","",HOUR(BW134))</f>
        <v/>
      </c>
      <c r="EL134" s="3" t="str">
        <f>IF(BW134="","",MINUTE(BW134))</f>
        <v/>
      </c>
      <c r="EM134" s="3" t="str">
        <f>IF(BW134="","",SECOND(BW134))</f>
        <v/>
      </c>
      <c r="EN134" s="4">
        <f t="shared" si="17"/>
        <v>999</v>
      </c>
      <c r="EO134" s="3" t="str">
        <f>IF(DJ134="","",DAY(DJ134))</f>
        <v/>
      </c>
      <c r="EP134" s="3" t="str">
        <f>IF(DJ134="","",HOUR(DJ134))</f>
        <v/>
      </c>
      <c r="EQ134" s="3" t="str">
        <f>IF(DJ134="","",MINUTE(DJ134))</f>
        <v/>
      </c>
      <c r="ER134" s="3" t="str">
        <f>IF(DJ134="","",SECOND(DJ134))</f>
        <v/>
      </c>
      <c r="ES134" s="4">
        <f>BW134-DJ134</f>
        <v>0</v>
      </c>
      <c r="ET134" s="5">
        <f t="shared" si="18"/>
        <v>0</v>
      </c>
    </row>
    <row r="135" spans="1:150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2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3">
        <f>DAY(DN135)</f>
        <v>0</v>
      </c>
      <c r="EG135" s="3">
        <f>HOUR(DN135)</f>
        <v>0</v>
      </c>
      <c r="EH135" s="3">
        <f>MINUTE(DN135)</f>
        <v>0</v>
      </c>
      <c r="EI135" s="3">
        <f>SECOND(DN135)</f>
        <v>0</v>
      </c>
      <c r="EJ135" s="3" t="str">
        <f>IF(BW135="","",DAY(BW135))</f>
        <v/>
      </c>
      <c r="EK135" s="3" t="str">
        <f>IF(BW135="","",HOUR(BW135))</f>
        <v/>
      </c>
      <c r="EL135" s="3" t="str">
        <f>IF(BW135="","",MINUTE(BW135))</f>
        <v/>
      </c>
      <c r="EM135" s="3" t="str">
        <f>IF(BW135="","",SECOND(BW135))</f>
        <v/>
      </c>
      <c r="EN135" s="4">
        <f t="shared" si="17"/>
        <v>999</v>
      </c>
      <c r="EO135" s="3" t="str">
        <f>IF(DJ135="","",DAY(DJ135))</f>
        <v/>
      </c>
      <c r="EP135" s="3" t="str">
        <f>IF(DJ135="","",HOUR(DJ135))</f>
        <v/>
      </c>
      <c r="EQ135" s="3" t="str">
        <f>IF(DJ135="","",MINUTE(DJ135))</f>
        <v/>
      </c>
      <c r="ER135" s="3" t="str">
        <f>IF(DJ135="","",SECOND(DJ135))</f>
        <v/>
      </c>
      <c r="ES135" s="4">
        <f>BW135-DJ135</f>
        <v>0</v>
      </c>
      <c r="ET135" s="5">
        <f t="shared" si="18"/>
        <v>0</v>
      </c>
    </row>
    <row r="136" spans="1:150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2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3">
        <f>DAY(DN136)</f>
        <v>0</v>
      </c>
      <c r="EG136" s="3">
        <f>HOUR(DN136)</f>
        <v>0</v>
      </c>
      <c r="EH136" s="3">
        <f>MINUTE(DN136)</f>
        <v>0</v>
      </c>
      <c r="EI136" s="3">
        <f>SECOND(DN136)</f>
        <v>0</v>
      </c>
      <c r="EJ136" s="3" t="str">
        <f>IF(BW136="","",DAY(BW136))</f>
        <v/>
      </c>
      <c r="EK136" s="3" t="str">
        <f>IF(BW136="","",HOUR(BW136))</f>
        <v/>
      </c>
      <c r="EL136" s="3" t="str">
        <f>IF(BW136="","",MINUTE(BW136))</f>
        <v/>
      </c>
      <c r="EM136" s="3" t="str">
        <f>IF(BW136="","",SECOND(BW136))</f>
        <v/>
      </c>
      <c r="EN136" s="4">
        <f t="shared" si="17"/>
        <v>999</v>
      </c>
      <c r="EO136" s="3" t="str">
        <f>IF(DJ136="","",DAY(DJ136))</f>
        <v/>
      </c>
      <c r="EP136" s="3" t="str">
        <f>IF(DJ136="","",HOUR(DJ136))</f>
        <v/>
      </c>
      <c r="EQ136" s="3" t="str">
        <f>IF(DJ136="","",MINUTE(DJ136))</f>
        <v/>
      </c>
      <c r="ER136" s="3" t="str">
        <f>IF(DJ136="","",SECOND(DJ136))</f>
        <v/>
      </c>
      <c r="ES136" s="4">
        <f>BW136-DJ136</f>
        <v>0</v>
      </c>
      <c r="ET136" s="5">
        <f t="shared" si="18"/>
        <v>0</v>
      </c>
    </row>
    <row r="137" spans="1:150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2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3">
        <f>DAY(DN137)</f>
        <v>0</v>
      </c>
      <c r="EG137" s="3">
        <f>HOUR(DN137)</f>
        <v>0</v>
      </c>
      <c r="EH137" s="3">
        <f>MINUTE(DN137)</f>
        <v>0</v>
      </c>
      <c r="EI137" s="3">
        <f>SECOND(DN137)</f>
        <v>0</v>
      </c>
      <c r="EJ137" s="3" t="str">
        <f>IF(BW137="","",DAY(BW137))</f>
        <v/>
      </c>
      <c r="EK137" s="3" t="str">
        <f>IF(BW137="","",HOUR(BW137))</f>
        <v/>
      </c>
      <c r="EL137" s="3" t="str">
        <f>IF(BW137="","",MINUTE(BW137))</f>
        <v/>
      </c>
      <c r="EM137" s="3" t="str">
        <f>IF(BW137="","",SECOND(BW137))</f>
        <v/>
      </c>
      <c r="EN137" s="4">
        <f t="shared" si="17"/>
        <v>999</v>
      </c>
      <c r="EO137" s="3" t="str">
        <f>IF(DJ137="","",DAY(DJ137))</f>
        <v/>
      </c>
      <c r="EP137" s="3" t="str">
        <f>IF(DJ137="","",HOUR(DJ137))</f>
        <v/>
      </c>
      <c r="EQ137" s="3" t="str">
        <f>IF(DJ137="","",MINUTE(DJ137))</f>
        <v/>
      </c>
      <c r="ER137" s="3" t="str">
        <f>IF(DJ137="","",SECOND(DJ137))</f>
        <v/>
      </c>
      <c r="ES137" s="4">
        <f>BW137-DJ137</f>
        <v>0</v>
      </c>
      <c r="ET137" s="5">
        <f t="shared" si="18"/>
        <v>0</v>
      </c>
    </row>
    <row r="138" spans="1:150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2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3">
        <f>DAY(DN138)</f>
        <v>0</v>
      </c>
      <c r="EG138" s="3">
        <f>HOUR(DN138)</f>
        <v>0</v>
      </c>
      <c r="EH138" s="3">
        <f>MINUTE(DN138)</f>
        <v>0</v>
      </c>
      <c r="EI138" s="3">
        <f>SECOND(DN138)</f>
        <v>0</v>
      </c>
      <c r="EJ138" s="3" t="str">
        <f>IF(BW138="","",DAY(BW138))</f>
        <v/>
      </c>
      <c r="EK138" s="3" t="str">
        <f>IF(BW138="","",HOUR(BW138))</f>
        <v/>
      </c>
      <c r="EL138" s="3" t="str">
        <f>IF(BW138="","",MINUTE(BW138))</f>
        <v/>
      </c>
      <c r="EM138" s="3" t="str">
        <f>IF(BW138="","",SECOND(BW138))</f>
        <v/>
      </c>
      <c r="EN138" s="4">
        <f t="shared" si="17"/>
        <v>999</v>
      </c>
      <c r="EO138" s="3" t="str">
        <f>IF(DJ138="","",DAY(DJ138))</f>
        <v/>
      </c>
      <c r="EP138" s="3" t="str">
        <f>IF(DJ138="","",HOUR(DJ138))</f>
        <v/>
      </c>
      <c r="EQ138" s="3" t="str">
        <f>IF(DJ138="","",MINUTE(DJ138))</f>
        <v/>
      </c>
      <c r="ER138" s="3" t="str">
        <f>IF(DJ138="","",SECOND(DJ138))</f>
        <v/>
      </c>
      <c r="ES138" s="4">
        <f>BW138-DJ138</f>
        <v>0</v>
      </c>
      <c r="ET138" s="5">
        <f t="shared" si="18"/>
        <v>0</v>
      </c>
    </row>
    <row r="139" spans="1:150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2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3">
        <f>DAY(DN139)</f>
        <v>0</v>
      </c>
      <c r="EG139" s="3">
        <f>HOUR(DN139)</f>
        <v>0</v>
      </c>
      <c r="EH139" s="3">
        <f>MINUTE(DN139)</f>
        <v>0</v>
      </c>
      <c r="EI139" s="3">
        <f>SECOND(DN139)</f>
        <v>0</v>
      </c>
      <c r="EJ139" s="3" t="str">
        <f>IF(BW139="","",DAY(BW139))</f>
        <v/>
      </c>
      <c r="EK139" s="3" t="str">
        <f>IF(BW139="","",HOUR(BW139))</f>
        <v/>
      </c>
      <c r="EL139" s="3" t="str">
        <f>IF(BW139="","",MINUTE(BW139))</f>
        <v/>
      </c>
      <c r="EM139" s="3" t="str">
        <f>IF(BW139="","",SECOND(BW139))</f>
        <v/>
      </c>
      <c r="EN139" s="4">
        <f t="shared" si="17"/>
        <v>999</v>
      </c>
      <c r="EO139" s="3" t="str">
        <f>IF(DJ139="","",DAY(DJ139))</f>
        <v/>
      </c>
      <c r="EP139" s="3" t="str">
        <f>IF(DJ139="","",HOUR(DJ139))</f>
        <v/>
      </c>
      <c r="EQ139" s="3" t="str">
        <f>IF(DJ139="","",MINUTE(DJ139))</f>
        <v/>
      </c>
      <c r="ER139" s="3" t="str">
        <f>IF(DJ139="","",SECOND(DJ139))</f>
        <v/>
      </c>
      <c r="ES139" s="4">
        <f>BW139-DJ139</f>
        <v>0</v>
      </c>
      <c r="ET139" s="5">
        <f t="shared" si="18"/>
        <v>0</v>
      </c>
    </row>
    <row r="140" spans="1:150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2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3">
        <f>DAY(DN140)</f>
        <v>0</v>
      </c>
      <c r="EG140" s="3">
        <f>HOUR(DN140)</f>
        <v>0</v>
      </c>
      <c r="EH140" s="3">
        <f>MINUTE(DN140)</f>
        <v>0</v>
      </c>
      <c r="EI140" s="3">
        <f>SECOND(DN140)</f>
        <v>0</v>
      </c>
      <c r="EJ140" s="3" t="str">
        <f>IF(BW140="","",DAY(BW140))</f>
        <v/>
      </c>
      <c r="EK140" s="3" t="str">
        <f>IF(BW140="","",HOUR(BW140))</f>
        <v/>
      </c>
      <c r="EL140" s="3" t="str">
        <f>IF(BW140="","",MINUTE(BW140))</f>
        <v/>
      </c>
      <c r="EM140" s="3" t="str">
        <f>IF(BW140="","",SECOND(BW140))</f>
        <v/>
      </c>
      <c r="EN140" s="4">
        <f t="shared" si="17"/>
        <v>999</v>
      </c>
      <c r="EO140" s="3" t="str">
        <f>IF(DJ140="","",DAY(DJ140))</f>
        <v/>
      </c>
      <c r="EP140" s="3" t="str">
        <f>IF(DJ140="","",HOUR(DJ140))</f>
        <v/>
      </c>
      <c r="EQ140" s="3" t="str">
        <f>IF(DJ140="","",MINUTE(DJ140))</f>
        <v/>
      </c>
      <c r="ER140" s="3" t="str">
        <f>IF(DJ140="","",SECOND(DJ140))</f>
        <v/>
      </c>
      <c r="ES140" s="4">
        <f>BW140-DJ140</f>
        <v>0</v>
      </c>
      <c r="ET140" s="5">
        <f t="shared" si="18"/>
        <v>0</v>
      </c>
    </row>
    <row r="141" spans="1:150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2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3">
        <f>DAY(DN141)</f>
        <v>0</v>
      </c>
      <c r="EG141" s="3">
        <f>HOUR(DN141)</f>
        <v>0</v>
      </c>
      <c r="EH141" s="3">
        <f>MINUTE(DN141)</f>
        <v>0</v>
      </c>
      <c r="EI141" s="3">
        <f>SECOND(DN141)</f>
        <v>0</v>
      </c>
      <c r="EJ141" s="3" t="str">
        <f>IF(BW141="","",DAY(BW141))</f>
        <v/>
      </c>
      <c r="EK141" s="3" t="str">
        <f>IF(BW141="","",HOUR(BW141))</f>
        <v/>
      </c>
      <c r="EL141" s="3" t="str">
        <f>IF(BW141="","",MINUTE(BW141))</f>
        <v/>
      </c>
      <c r="EM141" s="3" t="str">
        <f>IF(BW141="","",SECOND(BW141))</f>
        <v/>
      </c>
      <c r="EN141" s="4">
        <f t="shared" ref="EN141:EN204" si="19">IF(EF141=EJ141,ROUND(((EK141-EG141)*60*60+(EL141-EH141)*60+EM141-EI141)/600,0),999)</f>
        <v>999</v>
      </c>
      <c r="EO141" s="3" t="str">
        <f>IF(DJ141="","",DAY(DJ141))</f>
        <v/>
      </c>
      <c r="EP141" s="3" t="str">
        <f>IF(DJ141="","",HOUR(DJ141))</f>
        <v/>
      </c>
      <c r="EQ141" s="3" t="str">
        <f>IF(DJ141="","",MINUTE(DJ141))</f>
        <v/>
      </c>
      <c r="ER141" s="3" t="str">
        <f>IF(DJ141="","",SECOND(DJ141))</f>
        <v/>
      </c>
      <c r="ES141" s="4">
        <f>BW141-DJ141</f>
        <v>0</v>
      </c>
      <c r="ET141" s="5">
        <f t="shared" si="18"/>
        <v>0</v>
      </c>
    </row>
    <row r="142" spans="1:150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2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3">
        <f>DAY(DN142)</f>
        <v>0</v>
      </c>
      <c r="EG142" s="3">
        <f>HOUR(DN142)</f>
        <v>0</v>
      </c>
      <c r="EH142" s="3">
        <f>MINUTE(DN142)</f>
        <v>0</v>
      </c>
      <c r="EI142" s="3">
        <f>SECOND(DN142)</f>
        <v>0</v>
      </c>
      <c r="EJ142" s="3" t="str">
        <f>IF(BW142="","",DAY(BW142))</f>
        <v/>
      </c>
      <c r="EK142" s="3" t="str">
        <f>IF(BW142="","",HOUR(BW142))</f>
        <v/>
      </c>
      <c r="EL142" s="3" t="str">
        <f>IF(BW142="","",MINUTE(BW142))</f>
        <v/>
      </c>
      <c r="EM142" s="3" t="str">
        <f>IF(BW142="","",SECOND(BW142))</f>
        <v/>
      </c>
      <c r="EN142" s="4">
        <f t="shared" si="19"/>
        <v>999</v>
      </c>
      <c r="EO142" s="3" t="str">
        <f>IF(DJ142="","",DAY(DJ142))</f>
        <v/>
      </c>
      <c r="EP142" s="3" t="str">
        <f>IF(DJ142="","",HOUR(DJ142))</f>
        <v/>
      </c>
      <c r="EQ142" s="3" t="str">
        <f>IF(DJ142="","",MINUTE(DJ142))</f>
        <v/>
      </c>
      <c r="ER142" s="3" t="str">
        <f>IF(DJ142="","",SECOND(DJ142))</f>
        <v/>
      </c>
      <c r="ES142" s="4">
        <f>BW142-DJ142</f>
        <v>0</v>
      </c>
      <c r="ET142" s="5">
        <f t="shared" si="18"/>
        <v>0</v>
      </c>
    </row>
    <row r="143" spans="1:150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2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3">
        <f>DAY(DN143)</f>
        <v>0</v>
      </c>
      <c r="EG143" s="3">
        <f>HOUR(DN143)</f>
        <v>0</v>
      </c>
      <c r="EH143" s="3">
        <f>MINUTE(DN143)</f>
        <v>0</v>
      </c>
      <c r="EI143" s="3">
        <f>SECOND(DN143)</f>
        <v>0</v>
      </c>
      <c r="EJ143" s="3" t="str">
        <f>IF(BW143="","",DAY(BW143))</f>
        <v/>
      </c>
      <c r="EK143" s="3" t="str">
        <f>IF(BW143="","",HOUR(BW143))</f>
        <v/>
      </c>
      <c r="EL143" s="3" t="str">
        <f>IF(BW143="","",MINUTE(BW143))</f>
        <v/>
      </c>
      <c r="EM143" s="3" t="str">
        <f>IF(BW143="","",SECOND(BW143))</f>
        <v/>
      </c>
      <c r="EN143" s="4">
        <f t="shared" si="19"/>
        <v>999</v>
      </c>
      <c r="EO143" s="3" t="str">
        <f>IF(DJ143="","",DAY(DJ143))</f>
        <v/>
      </c>
      <c r="EP143" s="3" t="str">
        <f>IF(DJ143="","",HOUR(DJ143))</f>
        <v/>
      </c>
      <c r="EQ143" s="3" t="str">
        <f>IF(DJ143="","",MINUTE(DJ143))</f>
        <v/>
      </c>
      <c r="ER143" s="3" t="str">
        <f>IF(DJ143="","",SECOND(DJ143))</f>
        <v/>
      </c>
      <c r="ES143" s="4">
        <f>BW143-DJ143</f>
        <v>0</v>
      </c>
      <c r="ET143" s="5">
        <f t="shared" si="18"/>
        <v>0</v>
      </c>
    </row>
    <row r="144" spans="1:150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2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3">
        <f>DAY(DN144)</f>
        <v>0</v>
      </c>
      <c r="EG144" s="3">
        <f>HOUR(DN144)</f>
        <v>0</v>
      </c>
      <c r="EH144" s="3">
        <f>MINUTE(DN144)</f>
        <v>0</v>
      </c>
      <c r="EI144" s="3">
        <f>SECOND(DN144)</f>
        <v>0</v>
      </c>
      <c r="EJ144" s="3" t="str">
        <f>IF(BW144="","",DAY(BW144))</f>
        <v/>
      </c>
      <c r="EK144" s="3" t="str">
        <f>IF(BW144="","",HOUR(BW144))</f>
        <v/>
      </c>
      <c r="EL144" s="3" t="str">
        <f>IF(BW144="","",MINUTE(BW144))</f>
        <v/>
      </c>
      <c r="EM144" s="3" t="str">
        <f>IF(BW144="","",SECOND(BW144))</f>
        <v/>
      </c>
      <c r="EN144" s="4">
        <f t="shared" si="19"/>
        <v>999</v>
      </c>
      <c r="EO144" s="3" t="str">
        <f>IF(DJ144="","",DAY(DJ144))</f>
        <v/>
      </c>
      <c r="EP144" s="3" t="str">
        <f>IF(DJ144="","",HOUR(DJ144))</f>
        <v/>
      </c>
      <c r="EQ144" s="3" t="str">
        <f>IF(DJ144="","",MINUTE(DJ144))</f>
        <v/>
      </c>
      <c r="ER144" s="3" t="str">
        <f>IF(DJ144="","",SECOND(DJ144))</f>
        <v/>
      </c>
      <c r="ES144" s="4">
        <f>BW144-DJ144</f>
        <v>0</v>
      </c>
      <c r="ET144" s="5">
        <f t="shared" si="18"/>
        <v>0</v>
      </c>
    </row>
    <row r="145" spans="1:150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2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3">
        <f>DAY(DN145)</f>
        <v>0</v>
      </c>
      <c r="EG145" s="3">
        <f>HOUR(DN145)</f>
        <v>0</v>
      </c>
      <c r="EH145" s="3">
        <f>MINUTE(DN145)</f>
        <v>0</v>
      </c>
      <c r="EI145" s="3">
        <f>SECOND(DN145)</f>
        <v>0</v>
      </c>
      <c r="EJ145" s="3" t="str">
        <f>IF(BW145="","",DAY(BW145))</f>
        <v/>
      </c>
      <c r="EK145" s="3" t="str">
        <f>IF(BW145="","",HOUR(BW145))</f>
        <v/>
      </c>
      <c r="EL145" s="3" t="str">
        <f>IF(BW145="","",MINUTE(BW145))</f>
        <v/>
      </c>
      <c r="EM145" s="3" t="str">
        <f>IF(BW145="","",SECOND(BW145))</f>
        <v/>
      </c>
      <c r="EN145" s="4">
        <f t="shared" si="19"/>
        <v>999</v>
      </c>
      <c r="EO145" s="3" t="str">
        <f>IF(DJ145="","",DAY(DJ145))</f>
        <v/>
      </c>
      <c r="EP145" s="3" t="str">
        <f>IF(DJ145="","",HOUR(DJ145))</f>
        <v/>
      </c>
      <c r="EQ145" s="3" t="str">
        <f>IF(DJ145="","",MINUTE(DJ145))</f>
        <v/>
      </c>
      <c r="ER145" s="3" t="str">
        <f>IF(DJ145="","",SECOND(DJ145))</f>
        <v/>
      </c>
      <c r="ES145" s="4">
        <f>BW145-DJ145</f>
        <v>0</v>
      </c>
      <c r="ET145" s="5">
        <f t="shared" si="18"/>
        <v>0</v>
      </c>
    </row>
    <row r="146" spans="1:150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2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3">
        <f>DAY(DN146)</f>
        <v>0</v>
      </c>
      <c r="EG146" s="3">
        <f>HOUR(DN146)</f>
        <v>0</v>
      </c>
      <c r="EH146" s="3">
        <f>MINUTE(DN146)</f>
        <v>0</v>
      </c>
      <c r="EI146" s="3">
        <f>SECOND(DN146)</f>
        <v>0</v>
      </c>
      <c r="EJ146" s="3" t="str">
        <f>IF(BW146="","",DAY(BW146))</f>
        <v/>
      </c>
      <c r="EK146" s="3" t="str">
        <f>IF(BW146="","",HOUR(BW146))</f>
        <v/>
      </c>
      <c r="EL146" s="3" t="str">
        <f>IF(BW146="","",MINUTE(BW146))</f>
        <v/>
      </c>
      <c r="EM146" s="3" t="str">
        <f>IF(BW146="","",SECOND(BW146))</f>
        <v/>
      </c>
      <c r="EN146" s="4">
        <f t="shared" si="19"/>
        <v>999</v>
      </c>
      <c r="EO146" s="3" t="str">
        <f>IF(DJ146="","",DAY(DJ146))</f>
        <v/>
      </c>
      <c r="EP146" s="3" t="str">
        <f>IF(DJ146="","",HOUR(DJ146))</f>
        <v/>
      </c>
      <c r="EQ146" s="3" t="str">
        <f>IF(DJ146="","",MINUTE(DJ146))</f>
        <v/>
      </c>
      <c r="ER146" s="3" t="str">
        <f>IF(DJ146="","",SECOND(DJ146))</f>
        <v/>
      </c>
      <c r="ES146" s="4">
        <f>BW146-DJ146</f>
        <v>0</v>
      </c>
      <c r="ET146" s="5">
        <f t="shared" si="18"/>
        <v>0</v>
      </c>
    </row>
    <row r="147" spans="1:150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2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3">
        <f>DAY(DN147)</f>
        <v>0</v>
      </c>
      <c r="EG147" s="3">
        <f>HOUR(DN147)</f>
        <v>0</v>
      </c>
      <c r="EH147" s="3">
        <f>MINUTE(DN147)</f>
        <v>0</v>
      </c>
      <c r="EI147" s="3">
        <f>SECOND(DN147)</f>
        <v>0</v>
      </c>
      <c r="EJ147" s="3" t="str">
        <f>IF(BW147="","",DAY(BW147))</f>
        <v/>
      </c>
      <c r="EK147" s="3" t="str">
        <f>IF(BW147="","",HOUR(BW147))</f>
        <v/>
      </c>
      <c r="EL147" s="3" t="str">
        <f>IF(BW147="","",MINUTE(BW147))</f>
        <v/>
      </c>
      <c r="EM147" s="3" t="str">
        <f>IF(BW147="","",SECOND(BW147))</f>
        <v/>
      </c>
      <c r="EN147" s="4">
        <f t="shared" si="19"/>
        <v>999</v>
      </c>
      <c r="EO147" s="3" t="str">
        <f>IF(DJ147="","",DAY(DJ147))</f>
        <v/>
      </c>
      <c r="EP147" s="3" t="str">
        <f>IF(DJ147="","",HOUR(DJ147))</f>
        <v/>
      </c>
      <c r="EQ147" s="3" t="str">
        <f>IF(DJ147="","",MINUTE(DJ147))</f>
        <v/>
      </c>
      <c r="ER147" s="3" t="str">
        <f>IF(DJ147="","",SECOND(DJ147))</f>
        <v/>
      </c>
      <c r="ES147" s="4">
        <f>BW147-DJ147</f>
        <v>0</v>
      </c>
      <c r="ET147" s="5">
        <f t="shared" si="18"/>
        <v>0</v>
      </c>
    </row>
    <row r="148" spans="1:150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2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3">
        <f>DAY(DN148)</f>
        <v>0</v>
      </c>
      <c r="EG148" s="3">
        <f>HOUR(DN148)</f>
        <v>0</v>
      </c>
      <c r="EH148" s="3">
        <f>MINUTE(DN148)</f>
        <v>0</v>
      </c>
      <c r="EI148" s="3">
        <f>SECOND(DN148)</f>
        <v>0</v>
      </c>
      <c r="EJ148" s="3" t="str">
        <f>IF(BW148="","",DAY(BW148))</f>
        <v/>
      </c>
      <c r="EK148" s="3" t="str">
        <f>IF(BW148="","",HOUR(BW148))</f>
        <v/>
      </c>
      <c r="EL148" s="3" t="str">
        <f>IF(BW148="","",MINUTE(BW148))</f>
        <v/>
      </c>
      <c r="EM148" s="3" t="str">
        <f>IF(BW148="","",SECOND(BW148))</f>
        <v/>
      </c>
      <c r="EN148" s="4">
        <f t="shared" si="19"/>
        <v>999</v>
      </c>
      <c r="EO148" s="3" t="str">
        <f>IF(DJ148="","",DAY(DJ148))</f>
        <v/>
      </c>
      <c r="EP148" s="3" t="str">
        <f>IF(DJ148="","",HOUR(DJ148))</f>
        <v/>
      </c>
      <c r="EQ148" s="3" t="str">
        <f>IF(DJ148="","",MINUTE(DJ148))</f>
        <v/>
      </c>
      <c r="ER148" s="3" t="str">
        <f>IF(DJ148="","",SECOND(DJ148))</f>
        <v/>
      </c>
      <c r="ES148" s="4">
        <f>BW148-DJ148</f>
        <v>0</v>
      </c>
      <c r="ET148" s="5">
        <f t="shared" si="18"/>
        <v>0</v>
      </c>
    </row>
    <row r="149" spans="1:150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2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3">
        <f>DAY(DN149)</f>
        <v>0</v>
      </c>
      <c r="EG149" s="3">
        <f>HOUR(DN149)</f>
        <v>0</v>
      </c>
      <c r="EH149" s="3">
        <f>MINUTE(DN149)</f>
        <v>0</v>
      </c>
      <c r="EI149" s="3">
        <f>SECOND(DN149)</f>
        <v>0</v>
      </c>
      <c r="EJ149" s="3" t="str">
        <f>IF(BW149="","",DAY(BW149))</f>
        <v/>
      </c>
      <c r="EK149" s="3" t="str">
        <f>IF(BW149="","",HOUR(BW149))</f>
        <v/>
      </c>
      <c r="EL149" s="3" t="str">
        <f>IF(BW149="","",MINUTE(BW149))</f>
        <v/>
      </c>
      <c r="EM149" s="3" t="str">
        <f>IF(BW149="","",SECOND(BW149))</f>
        <v/>
      </c>
      <c r="EN149" s="4">
        <f t="shared" si="19"/>
        <v>999</v>
      </c>
      <c r="EO149" s="3" t="str">
        <f>IF(DJ149="","",DAY(DJ149))</f>
        <v/>
      </c>
      <c r="EP149" s="3" t="str">
        <f>IF(DJ149="","",HOUR(DJ149))</f>
        <v/>
      </c>
      <c r="EQ149" s="3" t="str">
        <f>IF(DJ149="","",MINUTE(DJ149))</f>
        <v/>
      </c>
      <c r="ER149" s="3" t="str">
        <f>IF(DJ149="","",SECOND(DJ149))</f>
        <v/>
      </c>
      <c r="ES149" s="4">
        <f>BW149-DJ149</f>
        <v>0</v>
      </c>
      <c r="ET149" s="5">
        <f t="shared" si="18"/>
        <v>0</v>
      </c>
    </row>
    <row r="150" spans="1:150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2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3">
        <f>DAY(DN150)</f>
        <v>0</v>
      </c>
      <c r="EG150" s="3">
        <f>HOUR(DN150)</f>
        <v>0</v>
      </c>
      <c r="EH150" s="3">
        <f>MINUTE(DN150)</f>
        <v>0</v>
      </c>
      <c r="EI150" s="3">
        <f>SECOND(DN150)</f>
        <v>0</v>
      </c>
      <c r="EJ150" s="3" t="str">
        <f>IF(BW150="","",DAY(BW150))</f>
        <v/>
      </c>
      <c r="EK150" s="3" t="str">
        <f>IF(BW150="","",HOUR(BW150))</f>
        <v/>
      </c>
      <c r="EL150" s="3" t="str">
        <f>IF(BW150="","",MINUTE(BW150))</f>
        <v/>
      </c>
      <c r="EM150" s="3" t="str">
        <f>IF(BW150="","",SECOND(BW150))</f>
        <v/>
      </c>
      <c r="EN150" s="4">
        <f t="shared" si="19"/>
        <v>999</v>
      </c>
      <c r="EO150" s="3" t="str">
        <f>IF(DJ150="","",DAY(DJ150))</f>
        <v/>
      </c>
      <c r="EP150" s="3" t="str">
        <f>IF(DJ150="","",HOUR(DJ150))</f>
        <v/>
      </c>
      <c r="EQ150" s="3" t="str">
        <f>IF(DJ150="","",MINUTE(DJ150))</f>
        <v/>
      </c>
      <c r="ER150" s="3" t="str">
        <f>IF(DJ150="","",SECOND(DJ150))</f>
        <v/>
      </c>
      <c r="ES150" s="4">
        <f>BW150-DJ150</f>
        <v>0</v>
      </c>
      <c r="ET150" s="5">
        <f t="shared" si="18"/>
        <v>0</v>
      </c>
    </row>
    <row r="151" spans="1:150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2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3">
        <f>DAY(DN151)</f>
        <v>0</v>
      </c>
      <c r="EG151" s="3">
        <f>HOUR(DN151)</f>
        <v>0</v>
      </c>
      <c r="EH151" s="3">
        <f>MINUTE(DN151)</f>
        <v>0</v>
      </c>
      <c r="EI151" s="3">
        <f>SECOND(DN151)</f>
        <v>0</v>
      </c>
      <c r="EJ151" s="3" t="str">
        <f>IF(BW151="","",DAY(BW151))</f>
        <v/>
      </c>
      <c r="EK151" s="3" t="str">
        <f>IF(BW151="","",HOUR(BW151))</f>
        <v/>
      </c>
      <c r="EL151" s="3" t="str">
        <f>IF(BW151="","",MINUTE(BW151))</f>
        <v/>
      </c>
      <c r="EM151" s="3" t="str">
        <f>IF(BW151="","",SECOND(BW151))</f>
        <v/>
      </c>
      <c r="EN151" s="4">
        <f t="shared" si="19"/>
        <v>999</v>
      </c>
      <c r="EO151" s="3" t="str">
        <f>IF(DJ151="","",DAY(DJ151))</f>
        <v/>
      </c>
      <c r="EP151" s="3" t="str">
        <f>IF(DJ151="","",HOUR(DJ151))</f>
        <v/>
      </c>
      <c r="EQ151" s="3" t="str">
        <f>IF(DJ151="","",MINUTE(DJ151))</f>
        <v/>
      </c>
      <c r="ER151" s="3" t="str">
        <f>IF(DJ151="","",SECOND(DJ151))</f>
        <v/>
      </c>
      <c r="ES151" s="4">
        <f>BW151-DJ151</f>
        <v>0</v>
      </c>
      <c r="ET151" s="5">
        <f t="shared" si="18"/>
        <v>0</v>
      </c>
    </row>
    <row r="152" spans="1:150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2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3">
        <f>DAY(DN152)</f>
        <v>0</v>
      </c>
      <c r="EG152" s="3">
        <f>HOUR(DN152)</f>
        <v>0</v>
      </c>
      <c r="EH152" s="3">
        <f>MINUTE(DN152)</f>
        <v>0</v>
      </c>
      <c r="EI152" s="3">
        <f>SECOND(DN152)</f>
        <v>0</v>
      </c>
      <c r="EJ152" s="3" t="str">
        <f>IF(BW152="","",DAY(BW152))</f>
        <v/>
      </c>
      <c r="EK152" s="3" t="str">
        <f>IF(BW152="","",HOUR(BW152))</f>
        <v/>
      </c>
      <c r="EL152" s="3" t="str">
        <f>IF(BW152="","",MINUTE(BW152))</f>
        <v/>
      </c>
      <c r="EM152" s="3" t="str">
        <f>IF(BW152="","",SECOND(BW152))</f>
        <v/>
      </c>
      <c r="EN152" s="4">
        <f t="shared" si="19"/>
        <v>999</v>
      </c>
      <c r="EO152" s="3" t="str">
        <f>IF(DJ152="","",DAY(DJ152))</f>
        <v/>
      </c>
      <c r="EP152" s="3" t="str">
        <f>IF(DJ152="","",HOUR(DJ152))</f>
        <v/>
      </c>
      <c r="EQ152" s="3" t="str">
        <f>IF(DJ152="","",MINUTE(DJ152))</f>
        <v/>
      </c>
      <c r="ER152" s="3" t="str">
        <f>IF(DJ152="","",SECOND(DJ152))</f>
        <v/>
      </c>
      <c r="ES152" s="4">
        <f>BW152-DJ152</f>
        <v>0</v>
      </c>
      <c r="ET152" s="5">
        <f t="shared" si="18"/>
        <v>0</v>
      </c>
    </row>
    <row r="153" spans="1:150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2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3">
        <f>DAY(DN153)</f>
        <v>0</v>
      </c>
      <c r="EG153" s="3">
        <f>HOUR(DN153)</f>
        <v>0</v>
      </c>
      <c r="EH153" s="3">
        <f>MINUTE(DN153)</f>
        <v>0</v>
      </c>
      <c r="EI153" s="3">
        <f>SECOND(DN153)</f>
        <v>0</v>
      </c>
      <c r="EJ153" s="3" t="str">
        <f>IF(BW153="","",DAY(BW153))</f>
        <v/>
      </c>
      <c r="EK153" s="3" t="str">
        <f>IF(BW153="","",HOUR(BW153))</f>
        <v/>
      </c>
      <c r="EL153" s="3" t="str">
        <f>IF(BW153="","",MINUTE(BW153))</f>
        <v/>
      </c>
      <c r="EM153" s="3" t="str">
        <f>IF(BW153="","",SECOND(BW153))</f>
        <v/>
      </c>
      <c r="EN153" s="4">
        <f t="shared" si="19"/>
        <v>999</v>
      </c>
      <c r="EO153" s="3" t="str">
        <f>IF(DJ153="","",DAY(DJ153))</f>
        <v/>
      </c>
      <c r="EP153" s="3" t="str">
        <f>IF(DJ153="","",HOUR(DJ153))</f>
        <v/>
      </c>
      <c r="EQ153" s="3" t="str">
        <f>IF(DJ153="","",MINUTE(DJ153))</f>
        <v/>
      </c>
      <c r="ER153" s="3" t="str">
        <f>IF(DJ153="","",SECOND(DJ153))</f>
        <v/>
      </c>
      <c r="ES153" s="4">
        <f>BW153-DJ153</f>
        <v>0</v>
      </c>
      <c r="ET153" s="5">
        <f t="shared" si="18"/>
        <v>0</v>
      </c>
    </row>
    <row r="154" spans="1:150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2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3">
        <f>DAY(DN154)</f>
        <v>0</v>
      </c>
      <c r="EG154" s="3">
        <f>HOUR(DN154)</f>
        <v>0</v>
      </c>
      <c r="EH154" s="3">
        <f>MINUTE(DN154)</f>
        <v>0</v>
      </c>
      <c r="EI154" s="3">
        <f>SECOND(DN154)</f>
        <v>0</v>
      </c>
      <c r="EJ154" s="3" t="str">
        <f>IF(BW154="","",DAY(BW154))</f>
        <v/>
      </c>
      <c r="EK154" s="3" t="str">
        <f>IF(BW154="","",HOUR(BW154))</f>
        <v/>
      </c>
      <c r="EL154" s="3" t="str">
        <f>IF(BW154="","",MINUTE(BW154))</f>
        <v/>
      </c>
      <c r="EM154" s="3" t="str">
        <f>IF(BW154="","",SECOND(BW154))</f>
        <v/>
      </c>
      <c r="EN154" s="4">
        <f t="shared" si="19"/>
        <v>999</v>
      </c>
      <c r="EO154" s="3" t="str">
        <f>IF(DJ154="","",DAY(DJ154))</f>
        <v/>
      </c>
      <c r="EP154" s="3" t="str">
        <f>IF(DJ154="","",HOUR(DJ154))</f>
        <v/>
      </c>
      <c r="EQ154" s="3" t="str">
        <f>IF(DJ154="","",MINUTE(DJ154))</f>
        <v/>
      </c>
      <c r="ER154" s="3" t="str">
        <f>IF(DJ154="","",SECOND(DJ154))</f>
        <v/>
      </c>
      <c r="ES154" s="4">
        <f>BW154-DJ154</f>
        <v>0</v>
      </c>
      <c r="ET154" s="5">
        <f t="shared" si="18"/>
        <v>0</v>
      </c>
    </row>
    <row r="155" spans="1:150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2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3">
        <f>DAY(DN155)</f>
        <v>0</v>
      </c>
      <c r="EG155" s="3">
        <f>HOUR(DN155)</f>
        <v>0</v>
      </c>
      <c r="EH155" s="3">
        <f>MINUTE(DN155)</f>
        <v>0</v>
      </c>
      <c r="EI155" s="3">
        <f>SECOND(DN155)</f>
        <v>0</v>
      </c>
      <c r="EJ155" s="3" t="str">
        <f>IF(BW155="","",DAY(BW155))</f>
        <v/>
      </c>
      <c r="EK155" s="3" t="str">
        <f>IF(BW155="","",HOUR(BW155))</f>
        <v/>
      </c>
      <c r="EL155" s="3" t="str">
        <f>IF(BW155="","",MINUTE(BW155))</f>
        <v/>
      </c>
      <c r="EM155" s="3" t="str">
        <f>IF(BW155="","",SECOND(BW155))</f>
        <v/>
      </c>
      <c r="EN155" s="4">
        <f t="shared" si="19"/>
        <v>999</v>
      </c>
      <c r="EO155" s="3" t="str">
        <f>IF(DJ155="","",DAY(DJ155))</f>
        <v/>
      </c>
      <c r="EP155" s="3" t="str">
        <f>IF(DJ155="","",HOUR(DJ155))</f>
        <v/>
      </c>
      <c r="EQ155" s="3" t="str">
        <f>IF(DJ155="","",MINUTE(DJ155))</f>
        <v/>
      </c>
      <c r="ER155" s="3" t="str">
        <f>IF(DJ155="","",SECOND(DJ155))</f>
        <v/>
      </c>
      <c r="ES155" s="4">
        <f>BW155-DJ155</f>
        <v>0</v>
      </c>
      <c r="ET155" s="5">
        <f t="shared" si="18"/>
        <v>0</v>
      </c>
    </row>
    <row r="156" spans="1:150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2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3">
        <f>DAY(DN156)</f>
        <v>0</v>
      </c>
      <c r="EG156" s="3">
        <f>HOUR(DN156)</f>
        <v>0</v>
      </c>
      <c r="EH156" s="3">
        <f>MINUTE(DN156)</f>
        <v>0</v>
      </c>
      <c r="EI156" s="3">
        <f>SECOND(DN156)</f>
        <v>0</v>
      </c>
      <c r="EJ156" s="3" t="str">
        <f>IF(BW156="","",DAY(BW156))</f>
        <v/>
      </c>
      <c r="EK156" s="3" t="str">
        <f>IF(BW156="","",HOUR(BW156))</f>
        <v/>
      </c>
      <c r="EL156" s="3" t="str">
        <f>IF(BW156="","",MINUTE(BW156))</f>
        <v/>
      </c>
      <c r="EM156" s="3" t="str">
        <f>IF(BW156="","",SECOND(BW156))</f>
        <v/>
      </c>
      <c r="EN156" s="4">
        <f t="shared" si="19"/>
        <v>999</v>
      </c>
      <c r="EO156" s="3" t="str">
        <f>IF(DJ156="","",DAY(DJ156))</f>
        <v/>
      </c>
      <c r="EP156" s="3" t="str">
        <f>IF(DJ156="","",HOUR(DJ156))</f>
        <v/>
      </c>
      <c r="EQ156" s="3" t="str">
        <f>IF(DJ156="","",MINUTE(DJ156))</f>
        <v/>
      </c>
      <c r="ER156" s="3" t="str">
        <f>IF(DJ156="","",SECOND(DJ156))</f>
        <v/>
      </c>
      <c r="ES156" s="4">
        <f>BW156-DJ156</f>
        <v>0</v>
      </c>
      <c r="ET156" s="5">
        <f t="shared" si="18"/>
        <v>0</v>
      </c>
    </row>
    <row r="157" spans="1:150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2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3">
        <f>DAY(DN157)</f>
        <v>0</v>
      </c>
      <c r="EG157" s="3">
        <f>HOUR(DN157)</f>
        <v>0</v>
      </c>
      <c r="EH157" s="3">
        <f>MINUTE(DN157)</f>
        <v>0</v>
      </c>
      <c r="EI157" s="3">
        <f>SECOND(DN157)</f>
        <v>0</v>
      </c>
      <c r="EJ157" s="3" t="str">
        <f>IF(BW157="","",DAY(BW157))</f>
        <v/>
      </c>
      <c r="EK157" s="3" t="str">
        <f>IF(BW157="","",HOUR(BW157))</f>
        <v/>
      </c>
      <c r="EL157" s="3" t="str">
        <f>IF(BW157="","",MINUTE(BW157))</f>
        <v/>
      </c>
      <c r="EM157" s="3" t="str">
        <f>IF(BW157="","",SECOND(BW157))</f>
        <v/>
      </c>
      <c r="EN157" s="4">
        <f t="shared" si="19"/>
        <v>999</v>
      </c>
      <c r="EO157" s="3" t="str">
        <f>IF(DJ157="","",DAY(DJ157))</f>
        <v/>
      </c>
      <c r="EP157" s="3" t="str">
        <f>IF(DJ157="","",HOUR(DJ157))</f>
        <v/>
      </c>
      <c r="EQ157" s="3" t="str">
        <f>IF(DJ157="","",MINUTE(DJ157))</f>
        <v/>
      </c>
      <c r="ER157" s="3" t="str">
        <f>IF(DJ157="","",SECOND(DJ157))</f>
        <v/>
      </c>
      <c r="ES157" s="4">
        <f>BW157-DJ157</f>
        <v>0</v>
      </c>
      <c r="ET157" s="5">
        <f t="shared" si="18"/>
        <v>0</v>
      </c>
    </row>
    <row r="158" spans="1:150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2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3">
        <f>DAY(DN158)</f>
        <v>0</v>
      </c>
      <c r="EG158" s="3">
        <f>HOUR(DN158)</f>
        <v>0</v>
      </c>
      <c r="EH158" s="3">
        <f>MINUTE(DN158)</f>
        <v>0</v>
      </c>
      <c r="EI158" s="3">
        <f>SECOND(DN158)</f>
        <v>0</v>
      </c>
      <c r="EJ158" s="3" t="str">
        <f>IF(BW158="","",DAY(BW158))</f>
        <v/>
      </c>
      <c r="EK158" s="3" t="str">
        <f>IF(BW158="","",HOUR(BW158))</f>
        <v/>
      </c>
      <c r="EL158" s="3" t="str">
        <f>IF(BW158="","",MINUTE(BW158))</f>
        <v/>
      </c>
      <c r="EM158" s="3" t="str">
        <f>IF(BW158="","",SECOND(BW158))</f>
        <v/>
      </c>
      <c r="EN158" s="4">
        <f t="shared" si="19"/>
        <v>999</v>
      </c>
      <c r="EO158" s="3" t="str">
        <f>IF(DJ158="","",DAY(DJ158))</f>
        <v/>
      </c>
      <c r="EP158" s="3" t="str">
        <f>IF(DJ158="","",HOUR(DJ158))</f>
        <v/>
      </c>
      <c r="EQ158" s="3" t="str">
        <f>IF(DJ158="","",MINUTE(DJ158))</f>
        <v/>
      </c>
      <c r="ER158" s="3" t="str">
        <f>IF(DJ158="","",SECOND(DJ158))</f>
        <v/>
      </c>
      <c r="ES158" s="4">
        <f>BW158-DJ158</f>
        <v>0</v>
      </c>
      <c r="ET158" s="5">
        <f t="shared" si="18"/>
        <v>0</v>
      </c>
    </row>
    <row r="159" spans="1:150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2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3">
        <f>DAY(DN159)</f>
        <v>0</v>
      </c>
      <c r="EG159" s="3">
        <f>HOUR(DN159)</f>
        <v>0</v>
      </c>
      <c r="EH159" s="3">
        <f>MINUTE(DN159)</f>
        <v>0</v>
      </c>
      <c r="EI159" s="3">
        <f>SECOND(DN159)</f>
        <v>0</v>
      </c>
      <c r="EJ159" s="3" t="str">
        <f>IF(BW159="","",DAY(BW159))</f>
        <v/>
      </c>
      <c r="EK159" s="3" t="str">
        <f>IF(BW159="","",HOUR(BW159))</f>
        <v/>
      </c>
      <c r="EL159" s="3" t="str">
        <f>IF(BW159="","",MINUTE(BW159))</f>
        <v/>
      </c>
      <c r="EM159" s="3" t="str">
        <f>IF(BW159="","",SECOND(BW159))</f>
        <v/>
      </c>
      <c r="EN159" s="4">
        <f t="shared" si="19"/>
        <v>999</v>
      </c>
      <c r="EO159" s="3" t="str">
        <f>IF(DJ159="","",DAY(DJ159))</f>
        <v/>
      </c>
      <c r="EP159" s="3" t="str">
        <f>IF(DJ159="","",HOUR(DJ159))</f>
        <v/>
      </c>
      <c r="EQ159" s="3" t="str">
        <f>IF(DJ159="","",MINUTE(DJ159))</f>
        <v/>
      </c>
      <c r="ER159" s="3" t="str">
        <f>IF(DJ159="","",SECOND(DJ159))</f>
        <v/>
      </c>
      <c r="ES159" s="4">
        <f>BW159-DJ159</f>
        <v>0</v>
      </c>
      <c r="ET159" s="5">
        <f t="shared" si="18"/>
        <v>0</v>
      </c>
    </row>
    <row r="160" spans="1:150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2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3">
        <f>DAY(DN160)</f>
        <v>0</v>
      </c>
      <c r="EG160" s="3">
        <f>HOUR(DN160)</f>
        <v>0</v>
      </c>
      <c r="EH160" s="3">
        <f>MINUTE(DN160)</f>
        <v>0</v>
      </c>
      <c r="EI160" s="3">
        <f>SECOND(DN160)</f>
        <v>0</v>
      </c>
      <c r="EJ160" s="3" t="str">
        <f>IF(BW160="","",DAY(BW160))</f>
        <v/>
      </c>
      <c r="EK160" s="3" t="str">
        <f>IF(BW160="","",HOUR(BW160))</f>
        <v/>
      </c>
      <c r="EL160" s="3" t="str">
        <f>IF(BW160="","",MINUTE(BW160))</f>
        <v/>
      </c>
      <c r="EM160" s="3" t="str">
        <f>IF(BW160="","",SECOND(BW160))</f>
        <v/>
      </c>
      <c r="EN160" s="4">
        <f t="shared" si="19"/>
        <v>999</v>
      </c>
      <c r="EO160" s="3" t="str">
        <f>IF(DJ160="","",DAY(DJ160))</f>
        <v/>
      </c>
      <c r="EP160" s="3" t="str">
        <f>IF(DJ160="","",HOUR(DJ160))</f>
        <v/>
      </c>
      <c r="EQ160" s="3" t="str">
        <f>IF(DJ160="","",MINUTE(DJ160))</f>
        <v/>
      </c>
      <c r="ER160" s="3" t="str">
        <f>IF(DJ160="","",SECOND(DJ160))</f>
        <v/>
      </c>
      <c r="ES160" s="4">
        <f>BW160-DJ160</f>
        <v>0</v>
      </c>
      <c r="ET160" s="5">
        <f t="shared" si="18"/>
        <v>0</v>
      </c>
    </row>
    <row r="161" spans="1:150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2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3">
        <f>DAY(DN161)</f>
        <v>0</v>
      </c>
      <c r="EG161" s="3">
        <f>HOUR(DN161)</f>
        <v>0</v>
      </c>
      <c r="EH161" s="3">
        <f>MINUTE(DN161)</f>
        <v>0</v>
      </c>
      <c r="EI161" s="3">
        <f>SECOND(DN161)</f>
        <v>0</v>
      </c>
      <c r="EJ161" s="3" t="str">
        <f>IF(BW161="","",DAY(BW161))</f>
        <v/>
      </c>
      <c r="EK161" s="3" t="str">
        <f>IF(BW161="","",HOUR(BW161))</f>
        <v/>
      </c>
      <c r="EL161" s="3" t="str">
        <f>IF(BW161="","",MINUTE(BW161))</f>
        <v/>
      </c>
      <c r="EM161" s="3" t="str">
        <f>IF(BW161="","",SECOND(BW161))</f>
        <v/>
      </c>
      <c r="EN161" s="4">
        <f t="shared" si="19"/>
        <v>999</v>
      </c>
      <c r="EO161" s="3" t="str">
        <f>IF(DJ161="","",DAY(DJ161))</f>
        <v/>
      </c>
      <c r="EP161" s="3" t="str">
        <f>IF(DJ161="","",HOUR(DJ161))</f>
        <v/>
      </c>
      <c r="EQ161" s="3" t="str">
        <f>IF(DJ161="","",MINUTE(DJ161))</f>
        <v/>
      </c>
      <c r="ER161" s="3" t="str">
        <f>IF(DJ161="","",SECOND(DJ161))</f>
        <v/>
      </c>
      <c r="ES161" s="4">
        <f>BW161-DJ161</f>
        <v>0</v>
      </c>
      <c r="ET161" s="5">
        <f t="shared" si="18"/>
        <v>0</v>
      </c>
    </row>
    <row r="162" spans="1:150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2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3">
        <f>DAY(DN162)</f>
        <v>0</v>
      </c>
      <c r="EG162" s="3">
        <f>HOUR(DN162)</f>
        <v>0</v>
      </c>
      <c r="EH162" s="3">
        <f>MINUTE(DN162)</f>
        <v>0</v>
      </c>
      <c r="EI162" s="3">
        <f>SECOND(DN162)</f>
        <v>0</v>
      </c>
      <c r="EJ162" s="3" t="str">
        <f>IF(BW162="","",DAY(BW162))</f>
        <v/>
      </c>
      <c r="EK162" s="3" t="str">
        <f>IF(BW162="","",HOUR(BW162))</f>
        <v/>
      </c>
      <c r="EL162" s="3" t="str">
        <f>IF(BW162="","",MINUTE(BW162))</f>
        <v/>
      </c>
      <c r="EM162" s="3" t="str">
        <f>IF(BW162="","",SECOND(BW162))</f>
        <v/>
      </c>
      <c r="EN162" s="4">
        <f t="shared" si="19"/>
        <v>999</v>
      </c>
      <c r="EO162" s="3" t="str">
        <f>IF(DJ162="","",DAY(DJ162))</f>
        <v/>
      </c>
      <c r="EP162" s="3" t="str">
        <f>IF(DJ162="","",HOUR(DJ162))</f>
        <v/>
      </c>
      <c r="EQ162" s="3" t="str">
        <f>IF(DJ162="","",MINUTE(DJ162))</f>
        <v/>
      </c>
      <c r="ER162" s="3" t="str">
        <f>IF(DJ162="","",SECOND(DJ162))</f>
        <v/>
      </c>
      <c r="ES162" s="4">
        <f>BW162-DJ162</f>
        <v>0</v>
      </c>
      <c r="ET162" s="5">
        <f t="shared" si="18"/>
        <v>0</v>
      </c>
    </row>
    <row r="163" spans="1:150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2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3">
        <f>DAY(DN163)</f>
        <v>0</v>
      </c>
      <c r="EG163" s="3">
        <f>HOUR(DN163)</f>
        <v>0</v>
      </c>
      <c r="EH163" s="3">
        <f>MINUTE(DN163)</f>
        <v>0</v>
      </c>
      <c r="EI163" s="3">
        <f>SECOND(DN163)</f>
        <v>0</v>
      </c>
      <c r="EJ163" s="3" t="str">
        <f>IF(BW163="","",DAY(BW163))</f>
        <v/>
      </c>
      <c r="EK163" s="3" t="str">
        <f>IF(BW163="","",HOUR(BW163))</f>
        <v/>
      </c>
      <c r="EL163" s="3" t="str">
        <f>IF(BW163="","",MINUTE(BW163))</f>
        <v/>
      </c>
      <c r="EM163" s="3" t="str">
        <f>IF(BW163="","",SECOND(BW163))</f>
        <v/>
      </c>
      <c r="EN163" s="4">
        <f t="shared" si="19"/>
        <v>999</v>
      </c>
      <c r="EO163" s="3" t="str">
        <f>IF(DJ163="","",DAY(DJ163))</f>
        <v/>
      </c>
      <c r="EP163" s="3" t="str">
        <f>IF(DJ163="","",HOUR(DJ163))</f>
        <v/>
      </c>
      <c r="EQ163" s="3" t="str">
        <f>IF(DJ163="","",MINUTE(DJ163))</f>
        <v/>
      </c>
      <c r="ER163" s="3" t="str">
        <f>IF(DJ163="","",SECOND(DJ163))</f>
        <v/>
      </c>
      <c r="ES163" s="4">
        <f>BW163-DJ163</f>
        <v>0</v>
      </c>
      <c r="ET163" s="5">
        <f t="shared" si="18"/>
        <v>0</v>
      </c>
    </row>
    <row r="164" spans="1:150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2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3">
        <f>DAY(DN164)</f>
        <v>0</v>
      </c>
      <c r="EG164" s="3">
        <f>HOUR(DN164)</f>
        <v>0</v>
      </c>
      <c r="EH164" s="3">
        <f>MINUTE(DN164)</f>
        <v>0</v>
      </c>
      <c r="EI164" s="3">
        <f>SECOND(DN164)</f>
        <v>0</v>
      </c>
      <c r="EJ164" s="3" t="str">
        <f>IF(BW164="","",DAY(BW164))</f>
        <v/>
      </c>
      <c r="EK164" s="3" t="str">
        <f>IF(BW164="","",HOUR(BW164))</f>
        <v/>
      </c>
      <c r="EL164" s="3" t="str">
        <f>IF(BW164="","",MINUTE(BW164))</f>
        <v/>
      </c>
      <c r="EM164" s="3" t="str">
        <f>IF(BW164="","",SECOND(BW164))</f>
        <v/>
      </c>
      <c r="EN164" s="4">
        <f t="shared" si="19"/>
        <v>999</v>
      </c>
      <c r="EO164" s="3" t="str">
        <f>IF(DJ164="","",DAY(DJ164))</f>
        <v/>
      </c>
      <c r="EP164" s="3" t="str">
        <f>IF(DJ164="","",HOUR(DJ164))</f>
        <v/>
      </c>
      <c r="EQ164" s="3" t="str">
        <f>IF(DJ164="","",MINUTE(DJ164))</f>
        <v/>
      </c>
      <c r="ER164" s="3" t="str">
        <f>IF(DJ164="","",SECOND(DJ164))</f>
        <v/>
      </c>
      <c r="ES164" s="4">
        <f>BW164-DJ164</f>
        <v>0</v>
      </c>
      <c r="ET164" s="5">
        <f t="shared" si="18"/>
        <v>0</v>
      </c>
    </row>
    <row r="165" spans="1:150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2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3">
        <f>DAY(DN165)</f>
        <v>0</v>
      </c>
      <c r="EG165" s="3">
        <f>HOUR(DN165)</f>
        <v>0</v>
      </c>
      <c r="EH165" s="3">
        <f>MINUTE(DN165)</f>
        <v>0</v>
      </c>
      <c r="EI165" s="3">
        <f>SECOND(DN165)</f>
        <v>0</v>
      </c>
      <c r="EJ165" s="3" t="str">
        <f>IF(BW165="","",DAY(BW165))</f>
        <v/>
      </c>
      <c r="EK165" s="3" t="str">
        <f>IF(BW165="","",HOUR(BW165))</f>
        <v/>
      </c>
      <c r="EL165" s="3" t="str">
        <f>IF(BW165="","",MINUTE(BW165))</f>
        <v/>
      </c>
      <c r="EM165" s="3" t="str">
        <f>IF(BW165="","",SECOND(BW165))</f>
        <v/>
      </c>
      <c r="EN165" s="4">
        <f t="shared" si="19"/>
        <v>999</v>
      </c>
      <c r="EO165" s="3" t="str">
        <f>IF(DJ165="","",DAY(DJ165))</f>
        <v/>
      </c>
      <c r="EP165" s="3" t="str">
        <f>IF(DJ165="","",HOUR(DJ165))</f>
        <v/>
      </c>
      <c r="EQ165" s="3" t="str">
        <f>IF(DJ165="","",MINUTE(DJ165))</f>
        <v/>
      </c>
      <c r="ER165" s="3" t="str">
        <f>IF(DJ165="","",SECOND(DJ165))</f>
        <v/>
      </c>
      <c r="ES165" s="4">
        <f>BW165-DJ165</f>
        <v>0</v>
      </c>
      <c r="ET165" s="5">
        <f t="shared" si="18"/>
        <v>0</v>
      </c>
    </row>
    <row r="166" spans="1:150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2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3">
        <f>DAY(DN166)</f>
        <v>0</v>
      </c>
      <c r="EG166" s="3">
        <f>HOUR(DN166)</f>
        <v>0</v>
      </c>
      <c r="EH166" s="3">
        <f>MINUTE(DN166)</f>
        <v>0</v>
      </c>
      <c r="EI166" s="3">
        <f>SECOND(DN166)</f>
        <v>0</v>
      </c>
      <c r="EJ166" s="3" t="str">
        <f>IF(BW166="","",DAY(BW166))</f>
        <v/>
      </c>
      <c r="EK166" s="3" t="str">
        <f>IF(BW166="","",HOUR(BW166))</f>
        <v/>
      </c>
      <c r="EL166" s="3" t="str">
        <f>IF(BW166="","",MINUTE(BW166))</f>
        <v/>
      </c>
      <c r="EM166" s="3" t="str">
        <f>IF(BW166="","",SECOND(BW166))</f>
        <v/>
      </c>
      <c r="EN166" s="4">
        <f t="shared" si="19"/>
        <v>999</v>
      </c>
      <c r="EO166" s="3" t="str">
        <f>IF(DJ166="","",DAY(DJ166))</f>
        <v/>
      </c>
      <c r="EP166" s="3" t="str">
        <f>IF(DJ166="","",HOUR(DJ166))</f>
        <v/>
      </c>
      <c r="EQ166" s="3" t="str">
        <f>IF(DJ166="","",MINUTE(DJ166))</f>
        <v/>
      </c>
      <c r="ER166" s="3" t="str">
        <f>IF(DJ166="","",SECOND(DJ166))</f>
        <v/>
      </c>
      <c r="ES166" s="4">
        <f>BW166-DJ166</f>
        <v>0</v>
      </c>
      <c r="ET166" s="5">
        <f t="shared" si="18"/>
        <v>0</v>
      </c>
    </row>
    <row r="167" spans="1:150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2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3">
        <f>DAY(DN167)</f>
        <v>0</v>
      </c>
      <c r="EG167" s="3">
        <f>HOUR(DN167)</f>
        <v>0</v>
      </c>
      <c r="EH167" s="3">
        <f>MINUTE(DN167)</f>
        <v>0</v>
      </c>
      <c r="EI167" s="3">
        <f>SECOND(DN167)</f>
        <v>0</v>
      </c>
      <c r="EJ167" s="3" t="str">
        <f>IF(BW167="","",DAY(BW167))</f>
        <v/>
      </c>
      <c r="EK167" s="3" t="str">
        <f>IF(BW167="","",HOUR(BW167))</f>
        <v/>
      </c>
      <c r="EL167" s="3" t="str">
        <f>IF(BW167="","",MINUTE(BW167))</f>
        <v/>
      </c>
      <c r="EM167" s="3" t="str">
        <f>IF(BW167="","",SECOND(BW167))</f>
        <v/>
      </c>
      <c r="EN167" s="4">
        <f t="shared" si="19"/>
        <v>999</v>
      </c>
      <c r="EO167" s="3" t="str">
        <f>IF(DJ167="","",DAY(DJ167))</f>
        <v/>
      </c>
      <c r="EP167" s="3" t="str">
        <f>IF(DJ167="","",HOUR(DJ167))</f>
        <v/>
      </c>
      <c r="EQ167" s="3" t="str">
        <f>IF(DJ167="","",MINUTE(DJ167))</f>
        <v/>
      </c>
      <c r="ER167" s="3" t="str">
        <f>IF(DJ167="","",SECOND(DJ167))</f>
        <v/>
      </c>
      <c r="ES167" s="4">
        <f>BW167-DJ167</f>
        <v>0</v>
      </c>
      <c r="ET167" s="5">
        <f t="shared" si="18"/>
        <v>0</v>
      </c>
    </row>
    <row r="168" spans="1:150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2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3">
        <f>DAY(DN168)</f>
        <v>0</v>
      </c>
      <c r="EG168" s="3">
        <f>HOUR(DN168)</f>
        <v>0</v>
      </c>
      <c r="EH168" s="3">
        <f>MINUTE(DN168)</f>
        <v>0</v>
      </c>
      <c r="EI168" s="3">
        <f>SECOND(DN168)</f>
        <v>0</v>
      </c>
      <c r="EJ168" s="3" t="str">
        <f>IF(BW168="","",DAY(BW168))</f>
        <v/>
      </c>
      <c r="EK168" s="3" t="str">
        <f>IF(BW168="","",HOUR(BW168))</f>
        <v/>
      </c>
      <c r="EL168" s="3" t="str">
        <f>IF(BW168="","",MINUTE(BW168))</f>
        <v/>
      </c>
      <c r="EM168" s="3" t="str">
        <f>IF(BW168="","",SECOND(BW168))</f>
        <v/>
      </c>
      <c r="EN168" s="4">
        <f t="shared" si="19"/>
        <v>999</v>
      </c>
      <c r="EO168" s="3" t="str">
        <f>IF(DJ168="","",DAY(DJ168))</f>
        <v/>
      </c>
      <c r="EP168" s="3" t="str">
        <f>IF(DJ168="","",HOUR(DJ168))</f>
        <v/>
      </c>
      <c r="EQ168" s="3" t="str">
        <f>IF(DJ168="","",MINUTE(DJ168))</f>
        <v/>
      </c>
      <c r="ER168" s="3" t="str">
        <f>IF(DJ168="","",SECOND(DJ168))</f>
        <v/>
      </c>
      <c r="ES168" s="4">
        <f>BW168-DJ168</f>
        <v>0</v>
      </c>
      <c r="ET168" s="5">
        <f t="shared" si="18"/>
        <v>0</v>
      </c>
    </row>
    <row r="169" spans="1:150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2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3">
        <f>DAY(DN169)</f>
        <v>0</v>
      </c>
      <c r="EG169" s="3">
        <f>HOUR(DN169)</f>
        <v>0</v>
      </c>
      <c r="EH169" s="3">
        <f>MINUTE(DN169)</f>
        <v>0</v>
      </c>
      <c r="EI169" s="3">
        <f>SECOND(DN169)</f>
        <v>0</v>
      </c>
      <c r="EJ169" s="3" t="str">
        <f>IF(BW169="","",DAY(BW169))</f>
        <v/>
      </c>
      <c r="EK169" s="3" t="str">
        <f>IF(BW169="","",HOUR(BW169))</f>
        <v/>
      </c>
      <c r="EL169" s="3" t="str">
        <f>IF(BW169="","",MINUTE(BW169))</f>
        <v/>
      </c>
      <c r="EM169" s="3" t="str">
        <f>IF(BW169="","",SECOND(BW169))</f>
        <v/>
      </c>
      <c r="EN169" s="4">
        <f t="shared" si="19"/>
        <v>999</v>
      </c>
      <c r="EO169" s="3" t="str">
        <f>IF(DJ169="","",DAY(DJ169))</f>
        <v/>
      </c>
      <c r="EP169" s="3" t="str">
        <f>IF(DJ169="","",HOUR(DJ169))</f>
        <v/>
      </c>
      <c r="EQ169" s="3" t="str">
        <f>IF(DJ169="","",MINUTE(DJ169))</f>
        <v/>
      </c>
      <c r="ER169" s="3" t="str">
        <f>IF(DJ169="","",SECOND(DJ169))</f>
        <v/>
      </c>
      <c r="ES169" s="4">
        <f>BW169-DJ169</f>
        <v>0</v>
      </c>
      <c r="ET169" s="5">
        <f t="shared" si="18"/>
        <v>0</v>
      </c>
    </row>
    <row r="170" spans="1:150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2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3">
        <f>DAY(DN170)</f>
        <v>0</v>
      </c>
      <c r="EG170" s="3">
        <f>HOUR(DN170)</f>
        <v>0</v>
      </c>
      <c r="EH170" s="3">
        <f>MINUTE(DN170)</f>
        <v>0</v>
      </c>
      <c r="EI170" s="3">
        <f>SECOND(DN170)</f>
        <v>0</v>
      </c>
      <c r="EJ170" s="3" t="str">
        <f>IF(BW170="","",DAY(BW170))</f>
        <v/>
      </c>
      <c r="EK170" s="3" t="str">
        <f>IF(BW170="","",HOUR(BW170))</f>
        <v/>
      </c>
      <c r="EL170" s="3" t="str">
        <f>IF(BW170="","",MINUTE(BW170))</f>
        <v/>
      </c>
      <c r="EM170" s="3" t="str">
        <f>IF(BW170="","",SECOND(BW170))</f>
        <v/>
      </c>
      <c r="EN170" s="4">
        <f t="shared" si="19"/>
        <v>999</v>
      </c>
      <c r="EO170" s="3" t="str">
        <f>IF(DJ170="","",DAY(DJ170))</f>
        <v/>
      </c>
      <c r="EP170" s="3" t="str">
        <f>IF(DJ170="","",HOUR(DJ170))</f>
        <v/>
      </c>
      <c r="EQ170" s="3" t="str">
        <f>IF(DJ170="","",MINUTE(DJ170))</f>
        <v/>
      </c>
      <c r="ER170" s="3" t="str">
        <f>IF(DJ170="","",SECOND(DJ170))</f>
        <v/>
      </c>
      <c r="ES170" s="4">
        <f>BW170-DJ170</f>
        <v>0</v>
      </c>
      <c r="ET170" s="5">
        <f t="shared" si="18"/>
        <v>0</v>
      </c>
    </row>
    <row r="171" spans="1:150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2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3">
        <f>DAY(DN171)</f>
        <v>0</v>
      </c>
      <c r="EG171" s="3">
        <f>HOUR(DN171)</f>
        <v>0</v>
      </c>
      <c r="EH171" s="3">
        <f>MINUTE(DN171)</f>
        <v>0</v>
      </c>
      <c r="EI171" s="3">
        <f>SECOND(DN171)</f>
        <v>0</v>
      </c>
      <c r="EJ171" s="3" t="str">
        <f>IF(BW171="","",DAY(BW171))</f>
        <v/>
      </c>
      <c r="EK171" s="3" t="str">
        <f>IF(BW171="","",HOUR(BW171))</f>
        <v/>
      </c>
      <c r="EL171" s="3" t="str">
        <f>IF(BW171="","",MINUTE(BW171))</f>
        <v/>
      </c>
      <c r="EM171" s="3" t="str">
        <f>IF(BW171="","",SECOND(BW171))</f>
        <v/>
      </c>
      <c r="EN171" s="4">
        <f t="shared" si="19"/>
        <v>999</v>
      </c>
      <c r="EO171" s="3" t="str">
        <f>IF(DJ171="","",DAY(DJ171))</f>
        <v/>
      </c>
      <c r="EP171" s="3" t="str">
        <f>IF(DJ171="","",HOUR(DJ171))</f>
        <v/>
      </c>
      <c r="EQ171" s="3" t="str">
        <f>IF(DJ171="","",MINUTE(DJ171))</f>
        <v/>
      </c>
      <c r="ER171" s="3" t="str">
        <f>IF(DJ171="","",SECOND(DJ171))</f>
        <v/>
      </c>
      <c r="ES171" s="4">
        <f>BW171-DJ171</f>
        <v>0</v>
      </c>
      <c r="ET171" s="5">
        <f t="shared" si="18"/>
        <v>0</v>
      </c>
    </row>
    <row r="172" spans="1:150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2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3">
        <f>DAY(DN172)</f>
        <v>0</v>
      </c>
      <c r="EG172" s="3">
        <f>HOUR(DN172)</f>
        <v>0</v>
      </c>
      <c r="EH172" s="3">
        <f>MINUTE(DN172)</f>
        <v>0</v>
      </c>
      <c r="EI172" s="3">
        <f>SECOND(DN172)</f>
        <v>0</v>
      </c>
      <c r="EJ172" s="3" t="str">
        <f>IF(BW172="","",DAY(BW172))</f>
        <v/>
      </c>
      <c r="EK172" s="3" t="str">
        <f>IF(BW172="","",HOUR(BW172))</f>
        <v/>
      </c>
      <c r="EL172" s="3" t="str">
        <f>IF(BW172="","",MINUTE(BW172))</f>
        <v/>
      </c>
      <c r="EM172" s="3" t="str">
        <f>IF(BW172="","",SECOND(BW172))</f>
        <v/>
      </c>
      <c r="EN172" s="4">
        <f t="shared" si="19"/>
        <v>999</v>
      </c>
      <c r="EO172" s="3" t="str">
        <f>IF(DJ172="","",DAY(DJ172))</f>
        <v/>
      </c>
      <c r="EP172" s="3" t="str">
        <f>IF(DJ172="","",HOUR(DJ172))</f>
        <v/>
      </c>
      <c r="EQ172" s="3" t="str">
        <f>IF(DJ172="","",MINUTE(DJ172))</f>
        <v/>
      </c>
      <c r="ER172" s="3" t="str">
        <f>IF(DJ172="","",SECOND(DJ172))</f>
        <v/>
      </c>
      <c r="ES172" s="4">
        <f>BW172-DJ172</f>
        <v>0</v>
      </c>
      <c r="ET172" s="5">
        <f t="shared" si="18"/>
        <v>0</v>
      </c>
    </row>
    <row r="173" spans="1:150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2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3">
        <f>DAY(DN173)</f>
        <v>0</v>
      </c>
      <c r="EG173" s="3">
        <f>HOUR(DN173)</f>
        <v>0</v>
      </c>
      <c r="EH173" s="3">
        <f>MINUTE(DN173)</f>
        <v>0</v>
      </c>
      <c r="EI173" s="3">
        <f>SECOND(DN173)</f>
        <v>0</v>
      </c>
      <c r="EJ173" s="3" t="str">
        <f>IF(BW173="","",DAY(BW173))</f>
        <v/>
      </c>
      <c r="EK173" s="3" t="str">
        <f>IF(BW173="","",HOUR(BW173))</f>
        <v/>
      </c>
      <c r="EL173" s="3" t="str">
        <f>IF(BW173="","",MINUTE(BW173))</f>
        <v/>
      </c>
      <c r="EM173" s="3" t="str">
        <f>IF(BW173="","",SECOND(BW173))</f>
        <v/>
      </c>
      <c r="EN173" s="4">
        <f t="shared" si="19"/>
        <v>999</v>
      </c>
      <c r="EO173" s="3" t="str">
        <f>IF(DJ173="","",DAY(DJ173))</f>
        <v/>
      </c>
      <c r="EP173" s="3" t="str">
        <f>IF(DJ173="","",HOUR(DJ173))</f>
        <v/>
      </c>
      <c r="EQ173" s="3" t="str">
        <f>IF(DJ173="","",MINUTE(DJ173))</f>
        <v/>
      </c>
      <c r="ER173" s="3" t="str">
        <f>IF(DJ173="","",SECOND(DJ173))</f>
        <v/>
      </c>
      <c r="ES173" s="4">
        <f>BW173-DJ173</f>
        <v>0</v>
      </c>
      <c r="ET173" s="5">
        <f t="shared" si="18"/>
        <v>0</v>
      </c>
    </row>
    <row r="174" spans="1:150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2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3">
        <f>DAY(DN174)</f>
        <v>0</v>
      </c>
      <c r="EG174" s="3">
        <f>HOUR(DN174)</f>
        <v>0</v>
      </c>
      <c r="EH174" s="3">
        <f>MINUTE(DN174)</f>
        <v>0</v>
      </c>
      <c r="EI174" s="3">
        <f>SECOND(DN174)</f>
        <v>0</v>
      </c>
      <c r="EJ174" s="3" t="str">
        <f>IF(BW174="","",DAY(BW174))</f>
        <v/>
      </c>
      <c r="EK174" s="3" t="str">
        <f>IF(BW174="","",HOUR(BW174))</f>
        <v/>
      </c>
      <c r="EL174" s="3" t="str">
        <f>IF(BW174="","",MINUTE(BW174))</f>
        <v/>
      </c>
      <c r="EM174" s="3" t="str">
        <f>IF(BW174="","",SECOND(BW174))</f>
        <v/>
      </c>
      <c r="EN174" s="4">
        <f t="shared" si="19"/>
        <v>999</v>
      </c>
      <c r="EO174" s="3" t="str">
        <f>IF(DJ174="","",DAY(DJ174))</f>
        <v/>
      </c>
      <c r="EP174" s="3" t="str">
        <f>IF(DJ174="","",HOUR(DJ174))</f>
        <v/>
      </c>
      <c r="EQ174" s="3" t="str">
        <f>IF(DJ174="","",MINUTE(DJ174))</f>
        <v/>
      </c>
      <c r="ER174" s="3" t="str">
        <f>IF(DJ174="","",SECOND(DJ174))</f>
        <v/>
      </c>
      <c r="ES174" s="4">
        <f>BW174-DJ174</f>
        <v>0</v>
      </c>
      <c r="ET174" s="5">
        <f t="shared" si="18"/>
        <v>0</v>
      </c>
    </row>
    <row r="175" spans="1:150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2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3">
        <f>DAY(DN175)</f>
        <v>0</v>
      </c>
      <c r="EG175" s="3">
        <f>HOUR(DN175)</f>
        <v>0</v>
      </c>
      <c r="EH175" s="3">
        <f>MINUTE(DN175)</f>
        <v>0</v>
      </c>
      <c r="EI175" s="3">
        <f>SECOND(DN175)</f>
        <v>0</v>
      </c>
      <c r="EJ175" s="3" t="str">
        <f>IF(BW175="","",DAY(BW175))</f>
        <v/>
      </c>
      <c r="EK175" s="3" t="str">
        <f>IF(BW175="","",HOUR(BW175))</f>
        <v/>
      </c>
      <c r="EL175" s="3" t="str">
        <f>IF(BW175="","",MINUTE(BW175))</f>
        <v/>
      </c>
      <c r="EM175" s="3" t="str">
        <f>IF(BW175="","",SECOND(BW175))</f>
        <v/>
      </c>
      <c r="EN175" s="4">
        <f t="shared" si="19"/>
        <v>999</v>
      </c>
      <c r="EO175" s="3" t="str">
        <f>IF(DJ175="","",DAY(DJ175))</f>
        <v/>
      </c>
      <c r="EP175" s="3" t="str">
        <f>IF(DJ175="","",HOUR(DJ175))</f>
        <v/>
      </c>
      <c r="EQ175" s="3" t="str">
        <f>IF(DJ175="","",MINUTE(DJ175))</f>
        <v/>
      </c>
      <c r="ER175" s="3" t="str">
        <f>IF(DJ175="","",SECOND(DJ175))</f>
        <v/>
      </c>
      <c r="ES175" s="4">
        <f>BW175-DJ175</f>
        <v>0</v>
      </c>
      <c r="ET175" s="5">
        <f t="shared" si="18"/>
        <v>0</v>
      </c>
    </row>
    <row r="176" spans="1:150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2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3">
        <f>DAY(DN176)</f>
        <v>0</v>
      </c>
      <c r="EG176" s="3">
        <f>HOUR(DN176)</f>
        <v>0</v>
      </c>
      <c r="EH176" s="3">
        <f>MINUTE(DN176)</f>
        <v>0</v>
      </c>
      <c r="EI176" s="3">
        <f>SECOND(DN176)</f>
        <v>0</v>
      </c>
      <c r="EJ176" s="3" t="str">
        <f>IF(BW176="","",DAY(BW176))</f>
        <v/>
      </c>
      <c r="EK176" s="3" t="str">
        <f>IF(BW176="","",HOUR(BW176))</f>
        <v/>
      </c>
      <c r="EL176" s="3" t="str">
        <f>IF(BW176="","",MINUTE(BW176))</f>
        <v/>
      </c>
      <c r="EM176" s="3" t="str">
        <f>IF(BW176="","",SECOND(BW176))</f>
        <v/>
      </c>
      <c r="EN176" s="4">
        <f t="shared" si="19"/>
        <v>999</v>
      </c>
      <c r="EO176" s="3" t="str">
        <f>IF(DJ176="","",DAY(DJ176))</f>
        <v/>
      </c>
      <c r="EP176" s="3" t="str">
        <f>IF(DJ176="","",HOUR(DJ176))</f>
        <v/>
      </c>
      <c r="EQ176" s="3" t="str">
        <f>IF(DJ176="","",MINUTE(DJ176))</f>
        <v/>
      </c>
      <c r="ER176" s="3" t="str">
        <f>IF(DJ176="","",SECOND(DJ176))</f>
        <v/>
      </c>
      <c r="ES176" s="4">
        <f>BW176-DJ176</f>
        <v>0</v>
      </c>
      <c r="ET176" s="5">
        <f t="shared" si="18"/>
        <v>0</v>
      </c>
    </row>
    <row r="177" spans="1:150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2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3">
        <f>DAY(DN177)</f>
        <v>0</v>
      </c>
      <c r="EG177" s="3">
        <f>HOUR(DN177)</f>
        <v>0</v>
      </c>
      <c r="EH177" s="3">
        <f>MINUTE(DN177)</f>
        <v>0</v>
      </c>
      <c r="EI177" s="3">
        <f>SECOND(DN177)</f>
        <v>0</v>
      </c>
      <c r="EJ177" s="3" t="str">
        <f>IF(BW177="","",DAY(BW177))</f>
        <v/>
      </c>
      <c r="EK177" s="3" t="str">
        <f>IF(BW177="","",HOUR(BW177))</f>
        <v/>
      </c>
      <c r="EL177" s="3" t="str">
        <f>IF(BW177="","",MINUTE(BW177))</f>
        <v/>
      </c>
      <c r="EM177" s="3" t="str">
        <f>IF(BW177="","",SECOND(BW177))</f>
        <v/>
      </c>
      <c r="EN177" s="4">
        <f t="shared" si="19"/>
        <v>999</v>
      </c>
      <c r="EO177" s="3" t="str">
        <f>IF(DJ177="","",DAY(DJ177))</f>
        <v/>
      </c>
      <c r="EP177" s="3" t="str">
        <f>IF(DJ177="","",HOUR(DJ177))</f>
        <v/>
      </c>
      <c r="EQ177" s="3" t="str">
        <f>IF(DJ177="","",MINUTE(DJ177))</f>
        <v/>
      </c>
      <c r="ER177" s="3" t="str">
        <f>IF(DJ177="","",SECOND(DJ177))</f>
        <v/>
      </c>
      <c r="ES177" s="4">
        <f>BW177-DJ177</f>
        <v>0</v>
      </c>
      <c r="ET177" s="5">
        <f t="shared" si="18"/>
        <v>0</v>
      </c>
    </row>
    <row r="178" spans="1:150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2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3">
        <f>DAY(DN178)</f>
        <v>0</v>
      </c>
      <c r="EG178" s="3">
        <f>HOUR(DN178)</f>
        <v>0</v>
      </c>
      <c r="EH178" s="3">
        <f>MINUTE(DN178)</f>
        <v>0</v>
      </c>
      <c r="EI178" s="3">
        <f>SECOND(DN178)</f>
        <v>0</v>
      </c>
      <c r="EJ178" s="3" t="str">
        <f>IF(BW178="","",DAY(BW178))</f>
        <v/>
      </c>
      <c r="EK178" s="3" t="str">
        <f>IF(BW178="","",HOUR(BW178))</f>
        <v/>
      </c>
      <c r="EL178" s="3" t="str">
        <f>IF(BW178="","",MINUTE(BW178))</f>
        <v/>
      </c>
      <c r="EM178" s="3" t="str">
        <f>IF(BW178="","",SECOND(BW178))</f>
        <v/>
      </c>
      <c r="EN178" s="4">
        <f t="shared" si="19"/>
        <v>999</v>
      </c>
      <c r="EO178" s="3" t="str">
        <f>IF(DJ178="","",DAY(DJ178))</f>
        <v/>
      </c>
      <c r="EP178" s="3" t="str">
        <f>IF(DJ178="","",HOUR(DJ178))</f>
        <v/>
      </c>
      <c r="EQ178" s="3" t="str">
        <f>IF(DJ178="","",MINUTE(DJ178))</f>
        <v/>
      </c>
      <c r="ER178" s="3" t="str">
        <f>IF(DJ178="","",SECOND(DJ178))</f>
        <v/>
      </c>
      <c r="ES178" s="4">
        <f>BW178-DJ178</f>
        <v>0</v>
      </c>
      <c r="ET178" s="5">
        <f t="shared" si="18"/>
        <v>0</v>
      </c>
    </row>
    <row r="179" spans="1:150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2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3">
        <f>DAY(DN179)</f>
        <v>0</v>
      </c>
      <c r="EG179" s="3">
        <f>HOUR(DN179)</f>
        <v>0</v>
      </c>
      <c r="EH179" s="3">
        <f>MINUTE(DN179)</f>
        <v>0</v>
      </c>
      <c r="EI179" s="3">
        <f>SECOND(DN179)</f>
        <v>0</v>
      </c>
      <c r="EJ179" s="3" t="str">
        <f>IF(BW179="","",DAY(BW179))</f>
        <v/>
      </c>
      <c r="EK179" s="3" t="str">
        <f>IF(BW179="","",HOUR(BW179))</f>
        <v/>
      </c>
      <c r="EL179" s="3" t="str">
        <f>IF(BW179="","",MINUTE(BW179))</f>
        <v/>
      </c>
      <c r="EM179" s="3" t="str">
        <f>IF(BW179="","",SECOND(BW179))</f>
        <v/>
      </c>
      <c r="EN179" s="4">
        <f t="shared" si="19"/>
        <v>999</v>
      </c>
      <c r="EO179" s="3" t="str">
        <f>IF(DJ179="","",DAY(DJ179))</f>
        <v/>
      </c>
      <c r="EP179" s="3" t="str">
        <f>IF(DJ179="","",HOUR(DJ179))</f>
        <v/>
      </c>
      <c r="EQ179" s="3" t="str">
        <f>IF(DJ179="","",MINUTE(DJ179))</f>
        <v/>
      </c>
      <c r="ER179" s="3" t="str">
        <f>IF(DJ179="","",SECOND(DJ179))</f>
        <v/>
      </c>
      <c r="ES179" s="4">
        <f>BW179-DJ179</f>
        <v>0</v>
      </c>
      <c r="ET179" s="5">
        <f t="shared" si="18"/>
        <v>0</v>
      </c>
    </row>
    <row r="180" spans="1:150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2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3">
        <f>DAY(DN180)</f>
        <v>0</v>
      </c>
      <c r="EG180" s="3">
        <f>HOUR(DN180)</f>
        <v>0</v>
      </c>
      <c r="EH180" s="3">
        <f>MINUTE(DN180)</f>
        <v>0</v>
      </c>
      <c r="EI180" s="3">
        <f>SECOND(DN180)</f>
        <v>0</v>
      </c>
      <c r="EJ180" s="3" t="str">
        <f>IF(BW180="","",DAY(BW180))</f>
        <v/>
      </c>
      <c r="EK180" s="3" t="str">
        <f>IF(BW180="","",HOUR(BW180))</f>
        <v/>
      </c>
      <c r="EL180" s="3" t="str">
        <f>IF(BW180="","",MINUTE(BW180))</f>
        <v/>
      </c>
      <c r="EM180" s="3" t="str">
        <f>IF(BW180="","",SECOND(BW180))</f>
        <v/>
      </c>
      <c r="EN180" s="4">
        <f t="shared" si="19"/>
        <v>999</v>
      </c>
      <c r="EO180" s="3" t="str">
        <f>IF(DJ180="","",DAY(DJ180))</f>
        <v/>
      </c>
      <c r="EP180" s="3" t="str">
        <f>IF(DJ180="","",HOUR(DJ180))</f>
        <v/>
      </c>
      <c r="EQ180" s="3" t="str">
        <f>IF(DJ180="","",MINUTE(DJ180))</f>
        <v/>
      </c>
      <c r="ER180" s="3" t="str">
        <f>IF(DJ180="","",SECOND(DJ180))</f>
        <v/>
      </c>
      <c r="ES180" s="4">
        <f>BW180-DJ180</f>
        <v>0</v>
      </c>
      <c r="ET180" s="5">
        <f t="shared" si="18"/>
        <v>0</v>
      </c>
    </row>
    <row r="181" spans="1:150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2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3">
        <f>DAY(DN181)</f>
        <v>0</v>
      </c>
      <c r="EG181" s="3">
        <f>HOUR(DN181)</f>
        <v>0</v>
      </c>
      <c r="EH181" s="3">
        <f>MINUTE(DN181)</f>
        <v>0</v>
      </c>
      <c r="EI181" s="3">
        <f>SECOND(DN181)</f>
        <v>0</v>
      </c>
      <c r="EJ181" s="3" t="str">
        <f>IF(BW181="","",DAY(BW181))</f>
        <v/>
      </c>
      <c r="EK181" s="3" t="str">
        <f>IF(BW181="","",HOUR(BW181))</f>
        <v/>
      </c>
      <c r="EL181" s="3" t="str">
        <f>IF(BW181="","",MINUTE(BW181))</f>
        <v/>
      </c>
      <c r="EM181" s="3" t="str">
        <f>IF(BW181="","",SECOND(BW181))</f>
        <v/>
      </c>
      <c r="EN181" s="4">
        <f t="shared" si="19"/>
        <v>999</v>
      </c>
      <c r="EO181" s="3" t="str">
        <f>IF(DJ181="","",DAY(DJ181))</f>
        <v/>
      </c>
      <c r="EP181" s="3" t="str">
        <f>IF(DJ181="","",HOUR(DJ181))</f>
        <v/>
      </c>
      <c r="EQ181" s="3" t="str">
        <f>IF(DJ181="","",MINUTE(DJ181))</f>
        <v/>
      </c>
      <c r="ER181" s="3" t="str">
        <f>IF(DJ181="","",SECOND(DJ181))</f>
        <v/>
      </c>
      <c r="ES181" s="4">
        <f>BW181-DJ181</f>
        <v>0</v>
      </c>
      <c r="ET181" s="5">
        <f t="shared" si="18"/>
        <v>0</v>
      </c>
    </row>
    <row r="182" spans="1:150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2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3">
        <f>DAY(DN182)</f>
        <v>0</v>
      </c>
      <c r="EG182" s="3">
        <f>HOUR(DN182)</f>
        <v>0</v>
      </c>
      <c r="EH182" s="3">
        <f>MINUTE(DN182)</f>
        <v>0</v>
      </c>
      <c r="EI182" s="3">
        <f>SECOND(DN182)</f>
        <v>0</v>
      </c>
      <c r="EJ182" s="3" t="str">
        <f>IF(BW182="","",DAY(BW182))</f>
        <v/>
      </c>
      <c r="EK182" s="3" t="str">
        <f>IF(BW182="","",HOUR(BW182))</f>
        <v/>
      </c>
      <c r="EL182" s="3" t="str">
        <f>IF(BW182="","",MINUTE(BW182))</f>
        <v/>
      </c>
      <c r="EM182" s="3" t="str">
        <f>IF(BW182="","",SECOND(BW182))</f>
        <v/>
      </c>
      <c r="EN182" s="4">
        <f t="shared" si="19"/>
        <v>999</v>
      </c>
      <c r="EO182" s="3" t="str">
        <f>IF(DJ182="","",DAY(DJ182))</f>
        <v/>
      </c>
      <c r="EP182" s="3" t="str">
        <f>IF(DJ182="","",HOUR(DJ182))</f>
        <v/>
      </c>
      <c r="EQ182" s="3" t="str">
        <f>IF(DJ182="","",MINUTE(DJ182))</f>
        <v/>
      </c>
      <c r="ER182" s="3" t="str">
        <f>IF(DJ182="","",SECOND(DJ182))</f>
        <v/>
      </c>
      <c r="ES182" s="4">
        <f>BW182-DJ182</f>
        <v>0</v>
      </c>
      <c r="ET182" s="5">
        <f t="shared" si="18"/>
        <v>0</v>
      </c>
    </row>
    <row r="183" spans="1:150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2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3">
        <f>DAY(DN183)</f>
        <v>0</v>
      </c>
      <c r="EG183" s="3">
        <f>HOUR(DN183)</f>
        <v>0</v>
      </c>
      <c r="EH183" s="3">
        <f>MINUTE(DN183)</f>
        <v>0</v>
      </c>
      <c r="EI183" s="3">
        <f>SECOND(DN183)</f>
        <v>0</v>
      </c>
      <c r="EJ183" s="3" t="str">
        <f>IF(BW183="","",DAY(BW183))</f>
        <v/>
      </c>
      <c r="EK183" s="3" t="str">
        <f>IF(BW183="","",HOUR(BW183))</f>
        <v/>
      </c>
      <c r="EL183" s="3" t="str">
        <f>IF(BW183="","",MINUTE(BW183))</f>
        <v/>
      </c>
      <c r="EM183" s="3" t="str">
        <f>IF(BW183="","",SECOND(BW183))</f>
        <v/>
      </c>
      <c r="EN183" s="4">
        <f t="shared" si="19"/>
        <v>999</v>
      </c>
      <c r="EO183" s="3" t="str">
        <f>IF(DJ183="","",DAY(DJ183))</f>
        <v/>
      </c>
      <c r="EP183" s="3" t="str">
        <f>IF(DJ183="","",HOUR(DJ183))</f>
        <v/>
      </c>
      <c r="EQ183" s="3" t="str">
        <f>IF(DJ183="","",MINUTE(DJ183))</f>
        <v/>
      </c>
      <c r="ER183" s="3" t="str">
        <f>IF(DJ183="","",SECOND(DJ183))</f>
        <v/>
      </c>
      <c r="ES183" s="4">
        <f>BW183-DJ183</f>
        <v>0</v>
      </c>
      <c r="ET183" s="5">
        <f t="shared" si="18"/>
        <v>0</v>
      </c>
    </row>
    <row r="184" spans="1:150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2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3">
        <f>DAY(DN184)</f>
        <v>0</v>
      </c>
      <c r="EG184" s="3">
        <f>HOUR(DN184)</f>
        <v>0</v>
      </c>
      <c r="EH184" s="3">
        <f>MINUTE(DN184)</f>
        <v>0</v>
      </c>
      <c r="EI184" s="3">
        <f>SECOND(DN184)</f>
        <v>0</v>
      </c>
      <c r="EJ184" s="3" t="str">
        <f>IF(BW184="","",DAY(BW184))</f>
        <v/>
      </c>
      <c r="EK184" s="3" t="str">
        <f>IF(BW184="","",HOUR(BW184))</f>
        <v/>
      </c>
      <c r="EL184" s="3" t="str">
        <f>IF(BW184="","",MINUTE(BW184))</f>
        <v/>
      </c>
      <c r="EM184" s="3" t="str">
        <f>IF(BW184="","",SECOND(BW184))</f>
        <v/>
      </c>
      <c r="EN184" s="4">
        <f t="shared" si="19"/>
        <v>999</v>
      </c>
      <c r="EO184" s="3" t="str">
        <f>IF(DJ184="","",DAY(DJ184))</f>
        <v/>
      </c>
      <c r="EP184" s="3" t="str">
        <f>IF(DJ184="","",HOUR(DJ184))</f>
        <v/>
      </c>
      <c r="EQ184" s="3" t="str">
        <f>IF(DJ184="","",MINUTE(DJ184))</f>
        <v/>
      </c>
      <c r="ER184" s="3" t="str">
        <f>IF(DJ184="","",SECOND(DJ184))</f>
        <v/>
      </c>
      <c r="ES184" s="4">
        <f>BW184-DJ184</f>
        <v>0</v>
      </c>
      <c r="ET184" s="5">
        <f t="shared" si="18"/>
        <v>0</v>
      </c>
    </row>
    <row r="185" spans="1:150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2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3">
        <f>DAY(DN185)</f>
        <v>0</v>
      </c>
      <c r="EG185" s="3">
        <f>HOUR(DN185)</f>
        <v>0</v>
      </c>
      <c r="EH185" s="3">
        <f>MINUTE(DN185)</f>
        <v>0</v>
      </c>
      <c r="EI185" s="3">
        <f>SECOND(DN185)</f>
        <v>0</v>
      </c>
      <c r="EJ185" s="3" t="str">
        <f>IF(BW185="","",DAY(BW185))</f>
        <v/>
      </c>
      <c r="EK185" s="3" t="str">
        <f>IF(BW185="","",HOUR(BW185))</f>
        <v/>
      </c>
      <c r="EL185" s="3" t="str">
        <f>IF(BW185="","",MINUTE(BW185))</f>
        <v/>
      </c>
      <c r="EM185" s="3" t="str">
        <f>IF(BW185="","",SECOND(BW185))</f>
        <v/>
      </c>
      <c r="EN185" s="4">
        <f t="shared" si="19"/>
        <v>999</v>
      </c>
      <c r="EO185" s="3" t="str">
        <f>IF(DJ185="","",DAY(DJ185))</f>
        <v/>
      </c>
      <c r="EP185" s="3" t="str">
        <f>IF(DJ185="","",HOUR(DJ185))</f>
        <v/>
      </c>
      <c r="EQ185" s="3" t="str">
        <f>IF(DJ185="","",MINUTE(DJ185))</f>
        <v/>
      </c>
      <c r="ER185" s="3" t="str">
        <f>IF(DJ185="","",SECOND(DJ185))</f>
        <v/>
      </c>
      <c r="ES185" s="4">
        <f>BW185-DJ185</f>
        <v>0</v>
      </c>
      <c r="ET185" s="5">
        <f t="shared" si="18"/>
        <v>0</v>
      </c>
    </row>
    <row r="186" spans="1:150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2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3">
        <f>DAY(DN186)</f>
        <v>0</v>
      </c>
      <c r="EG186" s="3">
        <f>HOUR(DN186)</f>
        <v>0</v>
      </c>
      <c r="EH186" s="3">
        <f>MINUTE(DN186)</f>
        <v>0</v>
      </c>
      <c r="EI186" s="3">
        <f>SECOND(DN186)</f>
        <v>0</v>
      </c>
      <c r="EJ186" s="3" t="str">
        <f>IF(BW186="","",DAY(BW186))</f>
        <v/>
      </c>
      <c r="EK186" s="3" t="str">
        <f>IF(BW186="","",HOUR(BW186))</f>
        <v/>
      </c>
      <c r="EL186" s="3" t="str">
        <f>IF(BW186="","",MINUTE(BW186))</f>
        <v/>
      </c>
      <c r="EM186" s="3" t="str">
        <f>IF(BW186="","",SECOND(BW186))</f>
        <v/>
      </c>
      <c r="EN186" s="4">
        <f t="shared" si="19"/>
        <v>999</v>
      </c>
      <c r="EO186" s="3" t="str">
        <f>IF(DJ186="","",DAY(DJ186))</f>
        <v/>
      </c>
      <c r="EP186" s="3" t="str">
        <f>IF(DJ186="","",HOUR(DJ186))</f>
        <v/>
      </c>
      <c r="EQ186" s="3" t="str">
        <f>IF(DJ186="","",MINUTE(DJ186))</f>
        <v/>
      </c>
      <c r="ER186" s="3" t="str">
        <f>IF(DJ186="","",SECOND(DJ186))</f>
        <v/>
      </c>
      <c r="ES186" s="4">
        <f>BW186-DJ186</f>
        <v>0</v>
      </c>
      <c r="ET186" s="5">
        <f t="shared" si="18"/>
        <v>0</v>
      </c>
    </row>
    <row r="187" spans="1:150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2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3">
        <f>DAY(DN187)</f>
        <v>0</v>
      </c>
      <c r="EG187" s="3">
        <f>HOUR(DN187)</f>
        <v>0</v>
      </c>
      <c r="EH187" s="3">
        <f>MINUTE(DN187)</f>
        <v>0</v>
      </c>
      <c r="EI187" s="3">
        <f>SECOND(DN187)</f>
        <v>0</v>
      </c>
      <c r="EJ187" s="3" t="str">
        <f>IF(BW187="","",DAY(BW187))</f>
        <v/>
      </c>
      <c r="EK187" s="3" t="str">
        <f>IF(BW187="","",HOUR(BW187))</f>
        <v/>
      </c>
      <c r="EL187" s="3" t="str">
        <f>IF(BW187="","",MINUTE(BW187))</f>
        <v/>
      </c>
      <c r="EM187" s="3" t="str">
        <f>IF(BW187="","",SECOND(BW187))</f>
        <v/>
      </c>
      <c r="EN187" s="4">
        <f t="shared" si="19"/>
        <v>999</v>
      </c>
      <c r="EO187" s="3" t="str">
        <f>IF(DJ187="","",DAY(DJ187))</f>
        <v/>
      </c>
      <c r="EP187" s="3" t="str">
        <f>IF(DJ187="","",HOUR(DJ187))</f>
        <v/>
      </c>
      <c r="EQ187" s="3" t="str">
        <f>IF(DJ187="","",MINUTE(DJ187))</f>
        <v/>
      </c>
      <c r="ER187" s="3" t="str">
        <f>IF(DJ187="","",SECOND(DJ187))</f>
        <v/>
      </c>
      <c r="ES187" s="4">
        <f>BW187-DJ187</f>
        <v>0</v>
      </c>
      <c r="ET187" s="5">
        <f t="shared" si="18"/>
        <v>0</v>
      </c>
    </row>
    <row r="188" spans="1:150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2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3">
        <f>DAY(DN188)</f>
        <v>0</v>
      </c>
      <c r="EG188" s="3">
        <f>HOUR(DN188)</f>
        <v>0</v>
      </c>
      <c r="EH188" s="3">
        <f>MINUTE(DN188)</f>
        <v>0</v>
      </c>
      <c r="EI188" s="3">
        <f>SECOND(DN188)</f>
        <v>0</v>
      </c>
      <c r="EJ188" s="3" t="str">
        <f>IF(BW188="","",DAY(BW188))</f>
        <v/>
      </c>
      <c r="EK188" s="3" t="str">
        <f>IF(BW188="","",HOUR(BW188))</f>
        <v/>
      </c>
      <c r="EL188" s="3" t="str">
        <f>IF(BW188="","",MINUTE(BW188))</f>
        <v/>
      </c>
      <c r="EM188" s="3" t="str">
        <f>IF(BW188="","",SECOND(BW188))</f>
        <v/>
      </c>
      <c r="EN188" s="4">
        <f t="shared" si="19"/>
        <v>999</v>
      </c>
      <c r="EO188" s="3" t="str">
        <f>IF(DJ188="","",DAY(DJ188))</f>
        <v/>
      </c>
      <c r="EP188" s="3" t="str">
        <f>IF(DJ188="","",HOUR(DJ188))</f>
        <v/>
      </c>
      <c r="EQ188" s="3" t="str">
        <f>IF(DJ188="","",MINUTE(DJ188))</f>
        <v/>
      </c>
      <c r="ER188" s="3" t="str">
        <f>IF(DJ188="","",SECOND(DJ188))</f>
        <v/>
      </c>
      <c r="ES188" s="4">
        <f>BW188-DJ188</f>
        <v>0</v>
      </c>
      <c r="ET188" s="5">
        <f t="shared" si="18"/>
        <v>0</v>
      </c>
    </row>
    <row r="189" spans="1:150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2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3">
        <f>DAY(DN189)</f>
        <v>0</v>
      </c>
      <c r="EG189" s="3">
        <f>HOUR(DN189)</f>
        <v>0</v>
      </c>
      <c r="EH189" s="3">
        <f>MINUTE(DN189)</f>
        <v>0</v>
      </c>
      <c r="EI189" s="3">
        <f>SECOND(DN189)</f>
        <v>0</v>
      </c>
      <c r="EJ189" s="3" t="str">
        <f>IF(BW189="","",DAY(BW189))</f>
        <v/>
      </c>
      <c r="EK189" s="3" t="str">
        <f>IF(BW189="","",HOUR(BW189))</f>
        <v/>
      </c>
      <c r="EL189" s="3" t="str">
        <f>IF(BW189="","",MINUTE(BW189))</f>
        <v/>
      </c>
      <c r="EM189" s="3" t="str">
        <f>IF(BW189="","",SECOND(BW189))</f>
        <v/>
      </c>
      <c r="EN189" s="4">
        <f t="shared" si="19"/>
        <v>999</v>
      </c>
      <c r="EO189" s="3" t="str">
        <f>IF(DJ189="","",DAY(DJ189))</f>
        <v/>
      </c>
      <c r="EP189" s="3" t="str">
        <f>IF(DJ189="","",HOUR(DJ189))</f>
        <v/>
      </c>
      <c r="EQ189" s="3" t="str">
        <f>IF(DJ189="","",MINUTE(DJ189))</f>
        <v/>
      </c>
      <c r="ER189" s="3" t="str">
        <f>IF(DJ189="","",SECOND(DJ189))</f>
        <v/>
      </c>
      <c r="ES189" s="4">
        <f>BW189-DJ189</f>
        <v>0</v>
      </c>
      <c r="ET189" s="5">
        <f t="shared" si="18"/>
        <v>0</v>
      </c>
    </row>
    <row r="190" spans="1:150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2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3">
        <f>DAY(DN190)</f>
        <v>0</v>
      </c>
      <c r="EG190" s="3">
        <f>HOUR(DN190)</f>
        <v>0</v>
      </c>
      <c r="EH190" s="3">
        <f>MINUTE(DN190)</f>
        <v>0</v>
      </c>
      <c r="EI190" s="3">
        <f>SECOND(DN190)</f>
        <v>0</v>
      </c>
      <c r="EJ190" s="3" t="str">
        <f>IF(BW190="","",DAY(BW190))</f>
        <v/>
      </c>
      <c r="EK190" s="3" t="str">
        <f>IF(BW190="","",HOUR(BW190))</f>
        <v/>
      </c>
      <c r="EL190" s="3" t="str">
        <f>IF(BW190="","",MINUTE(BW190))</f>
        <v/>
      </c>
      <c r="EM190" s="3" t="str">
        <f>IF(BW190="","",SECOND(BW190))</f>
        <v/>
      </c>
      <c r="EN190" s="4">
        <f t="shared" si="19"/>
        <v>999</v>
      </c>
      <c r="EO190" s="3" t="str">
        <f>IF(DJ190="","",DAY(DJ190))</f>
        <v/>
      </c>
      <c r="EP190" s="3" t="str">
        <f>IF(DJ190="","",HOUR(DJ190))</f>
        <v/>
      </c>
      <c r="EQ190" s="3" t="str">
        <f>IF(DJ190="","",MINUTE(DJ190))</f>
        <v/>
      </c>
      <c r="ER190" s="3" t="str">
        <f>IF(DJ190="","",SECOND(DJ190))</f>
        <v/>
      </c>
      <c r="ES190" s="4">
        <f>BW190-DJ190</f>
        <v>0</v>
      </c>
      <c r="ET190" s="5">
        <f t="shared" si="18"/>
        <v>0</v>
      </c>
    </row>
    <row r="191" spans="1:150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2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3">
        <f>DAY(DN191)</f>
        <v>0</v>
      </c>
      <c r="EG191" s="3">
        <f>HOUR(DN191)</f>
        <v>0</v>
      </c>
      <c r="EH191" s="3">
        <f>MINUTE(DN191)</f>
        <v>0</v>
      </c>
      <c r="EI191" s="3">
        <f>SECOND(DN191)</f>
        <v>0</v>
      </c>
      <c r="EJ191" s="3" t="str">
        <f>IF(BW191="","",DAY(BW191))</f>
        <v/>
      </c>
      <c r="EK191" s="3" t="str">
        <f>IF(BW191="","",HOUR(BW191))</f>
        <v/>
      </c>
      <c r="EL191" s="3" t="str">
        <f>IF(BW191="","",MINUTE(BW191))</f>
        <v/>
      </c>
      <c r="EM191" s="3" t="str">
        <f>IF(BW191="","",SECOND(BW191))</f>
        <v/>
      </c>
      <c r="EN191" s="4">
        <f t="shared" si="19"/>
        <v>999</v>
      </c>
      <c r="EO191" s="3" t="str">
        <f>IF(DJ191="","",DAY(DJ191))</f>
        <v/>
      </c>
      <c r="EP191" s="3" t="str">
        <f>IF(DJ191="","",HOUR(DJ191))</f>
        <v/>
      </c>
      <c r="EQ191" s="3" t="str">
        <f>IF(DJ191="","",MINUTE(DJ191))</f>
        <v/>
      </c>
      <c r="ER191" s="3" t="str">
        <f>IF(DJ191="","",SECOND(DJ191))</f>
        <v/>
      </c>
      <c r="ES191" s="4">
        <f>BW191-DJ191</f>
        <v>0</v>
      </c>
      <c r="ET191" s="5">
        <f t="shared" si="18"/>
        <v>0</v>
      </c>
    </row>
    <row r="192" spans="1:150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2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3">
        <f>DAY(DN192)</f>
        <v>0</v>
      </c>
      <c r="EG192" s="3">
        <f>HOUR(DN192)</f>
        <v>0</v>
      </c>
      <c r="EH192" s="3">
        <f>MINUTE(DN192)</f>
        <v>0</v>
      </c>
      <c r="EI192" s="3">
        <f>SECOND(DN192)</f>
        <v>0</v>
      </c>
      <c r="EJ192" s="3" t="str">
        <f>IF(BW192="","",DAY(BW192))</f>
        <v/>
      </c>
      <c r="EK192" s="3" t="str">
        <f>IF(BW192="","",HOUR(BW192))</f>
        <v/>
      </c>
      <c r="EL192" s="3" t="str">
        <f>IF(BW192="","",MINUTE(BW192))</f>
        <v/>
      </c>
      <c r="EM192" s="3" t="str">
        <f>IF(BW192="","",SECOND(BW192))</f>
        <v/>
      </c>
      <c r="EN192" s="4">
        <f t="shared" si="19"/>
        <v>999</v>
      </c>
      <c r="EO192" s="3" t="str">
        <f>IF(DJ192="","",DAY(DJ192))</f>
        <v/>
      </c>
      <c r="EP192" s="3" t="str">
        <f>IF(DJ192="","",HOUR(DJ192))</f>
        <v/>
      </c>
      <c r="EQ192" s="3" t="str">
        <f>IF(DJ192="","",MINUTE(DJ192))</f>
        <v/>
      </c>
      <c r="ER192" s="3" t="str">
        <f>IF(DJ192="","",SECOND(DJ192))</f>
        <v/>
      </c>
      <c r="ES192" s="4">
        <f>BW192-DJ192</f>
        <v>0</v>
      </c>
      <c r="ET192" s="5">
        <f t="shared" si="18"/>
        <v>0</v>
      </c>
    </row>
    <row r="193" spans="1:150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2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3">
        <f>DAY(DN193)</f>
        <v>0</v>
      </c>
      <c r="EG193" s="3">
        <f>HOUR(DN193)</f>
        <v>0</v>
      </c>
      <c r="EH193" s="3">
        <f>MINUTE(DN193)</f>
        <v>0</v>
      </c>
      <c r="EI193" s="3">
        <f>SECOND(DN193)</f>
        <v>0</v>
      </c>
      <c r="EJ193" s="3" t="str">
        <f>IF(BW193="","",DAY(BW193))</f>
        <v/>
      </c>
      <c r="EK193" s="3" t="str">
        <f>IF(BW193="","",HOUR(BW193))</f>
        <v/>
      </c>
      <c r="EL193" s="3" t="str">
        <f>IF(BW193="","",MINUTE(BW193))</f>
        <v/>
      </c>
      <c r="EM193" s="3" t="str">
        <f>IF(BW193="","",SECOND(BW193))</f>
        <v/>
      </c>
      <c r="EN193" s="4">
        <f t="shared" si="19"/>
        <v>999</v>
      </c>
      <c r="EO193" s="3" t="str">
        <f>IF(DJ193="","",DAY(DJ193))</f>
        <v/>
      </c>
      <c r="EP193" s="3" t="str">
        <f>IF(DJ193="","",HOUR(DJ193))</f>
        <v/>
      </c>
      <c r="EQ193" s="3" t="str">
        <f>IF(DJ193="","",MINUTE(DJ193))</f>
        <v/>
      </c>
      <c r="ER193" s="3" t="str">
        <f>IF(DJ193="","",SECOND(DJ193))</f>
        <v/>
      </c>
      <c r="ES193" s="4">
        <f>BW193-DJ193</f>
        <v>0</v>
      </c>
      <c r="ET193" s="5">
        <f t="shared" si="18"/>
        <v>0</v>
      </c>
    </row>
    <row r="194" spans="1:150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2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3">
        <f>DAY(DN194)</f>
        <v>0</v>
      </c>
      <c r="EG194" s="3">
        <f>HOUR(DN194)</f>
        <v>0</v>
      </c>
      <c r="EH194" s="3">
        <f>MINUTE(DN194)</f>
        <v>0</v>
      </c>
      <c r="EI194" s="3">
        <f>SECOND(DN194)</f>
        <v>0</v>
      </c>
      <c r="EJ194" s="3" t="str">
        <f>IF(BW194="","",DAY(BW194))</f>
        <v/>
      </c>
      <c r="EK194" s="3" t="str">
        <f>IF(BW194="","",HOUR(BW194))</f>
        <v/>
      </c>
      <c r="EL194" s="3" t="str">
        <f>IF(BW194="","",MINUTE(BW194))</f>
        <v/>
      </c>
      <c r="EM194" s="3" t="str">
        <f>IF(BW194="","",SECOND(BW194))</f>
        <v/>
      </c>
      <c r="EN194" s="4">
        <f t="shared" si="19"/>
        <v>999</v>
      </c>
      <c r="EO194" s="3" t="str">
        <f>IF(DJ194="","",DAY(DJ194))</f>
        <v/>
      </c>
      <c r="EP194" s="3" t="str">
        <f>IF(DJ194="","",HOUR(DJ194))</f>
        <v/>
      </c>
      <c r="EQ194" s="3" t="str">
        <f>IF(DJ194="","",MINUTE(DJ194))</f>
        <v/>
      </c>
      <c r="ER194" s="3" t="str">
        <f>IF(DJ194="","",SECOND(DJ194))</f>
        <v/>
      </c>
      <c r="ES194" s="4">
        <f>BW194-DJ194</f>
        <v>0</v>
      </c>
      <c r="ET194" s="5">
        <f t="shared" ref="ET194:ET257" si="20">ROUND(ES194*60*60*24/60,1)</f>
        <v>0</v>
      </c>
    </row>
    <row r="195" spans="1:150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2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3">
        <f>DAY(DN195)</f>
        <v>0</v>
      </c>
      <c r="EG195" s="3">
        <f>HOUR(DN195)</f>
        <v>0</v>
      </c>
      <c r="EH195" s="3">
        <f>MINUTE(DN195)</f>
        <v>0</v>
      </c>
      <c r="EI195" s="3">
        <f>SECOND(DN195)</f>
        <v>0</v>
      </c>
      <c r="EJ195" s="3" t="str">
        <f>IF(BW195="","",DAY(BW195))</f>
        <v/>
      </c>
      <c r="EK195" s="3" t="str">
        <f>IF(BW195="","",HOUR(BW195))</f>
        <v/>
      </c>
      <c r="EL195" s="3" t="str">
        <f>IF(BW195="","",MINUTE(BW195))</f>
        <v/>
      </c>
      <c r="EM195" s="3" t="str">
        <f>IF(BW195="","",SECOND(BW195))</f>
        <v/>
      </c>
      <c r="EN195" s="4">
        <f t="shared" si="19"/>
        <v>999</v>
      </c>
      <c r="EO195" s="3" t="str">
        <f>IF(DJ195="","",DAY(DJ195))</f>
        <v/>
      </c>
      <c r="EP195" s="3" t="str">
        <f>IF(DJ195="","",HOUR(DJ195))</f>
        <v/>
      </c>
      <c r="EQ195" s="3" t="str">
        <f>IF(DJ195="","",MINUTE(DJ195))</f>
        <v/>
      </c>
      <c r="ER195" s="3" t="str">
        <f>IF(DJ195="","",SECOND(DJ195))</f>
        <v/>
      </c>
      <c r="ES195" s="4">
        <f>BW195-DJ195</f>
        <v>0</v>
      </c>
      <c r="ET195" s="5">
        <f t="shared" si="20"/>
        <v>0</v>
      </c>
    </row>
    <row r="196" spans="1:150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2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3">
        <f>DAY(DN196)</f>
        <v>0</v>
      </c>
      <c r="EG196" s="3">
        <f>HOUR(DN196)</f>
        <v>0</v>
      </c>
      <c r="EH196" s="3">
        <f>MINUTE(DN196)</f>
        <v>0</v>
      </c>
      <c r="EI196" s="3">
        <f>SECOND(DN196)</f>
        <v>0</v>
      </c>
      <c r="EJ196" s="3" t="str">
        <f>IF(BW196="","",DAY(BW196))</f>
        <v/>
      </c>
      <c r="EK196" s="3" t="str">
        <f>IF(BW196="","",HOUR(BW196))</f>
        <v/>
      </c>
      <c r="EL196" s="3" t="str">
        <f>IF(BW196="","",MINUTE(BW196))</f>
        <v/>
      </c>
      <c r="EM196" s="3" t="str">
        <f>IF(BW196="","",SECOND(BW196))</f>
        <v/>
      </c>
      <c r="EN196" s="4">
        <f t="shared" si="19"/>
        <v>999</v>
      </c>
      <c r="EO196" s="3" t="str">
        <f>IF(DJ196="","",DAY(DJ196))</f>
        <v/>
      </c>
      <c r="EP196" s="3" t="str">
        <f>IF(DJ196="","",HOUR(DJ196))</f>
        <v/>
      </c>
      <c r="EQ196" s="3" t="str">
        <f>IF(DJ196="","",MINUTE(DJ196))</f>
        <v/>
      </c>
      <c r="ER196" s="3" t="str">
        <f>IF(DJ196="","",SECOND(DJ196))</f>
        <v/>
      </c>
      <c r="ES196" s="4">
        <f>BW196-DJ196</f>
        <v>0</v>
      </c>
      <c r="ET196" s="5">
        <f t="shared" si="20"/>
        <v>0</v>
      </c>
    </row>
    <row r="197" spans="1:150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2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3">
        <f>DAY(DN197)</f>
        <v>0</v>
      </c>
      <c r="EG197" s="3">
        <f>HOUR(DN197)</f>
        <v>0</v>
      </c>
      <c r="EH197" s="3">
        <f>MINUTE(DN197)</f>
        <v>0</v>
      </c>
      <c r="EI197" s="3">
        <f>SECOND(DN197)</f>
        <v>0</v>
      </c>
      <c r="EJ197" s="3" t="str">
        <f>IF(BW197="","",DAY(BW197))</f>
        <v/>
      </c>
      <c r="EK197" s="3" t="str">
        <f>IF(BW197="","",HOUR(BW197))</f>
        <v/>
      </c>
      <c r="EL197" s="3" t="str">
        <f>IF(BW197="","",MINUTE(BW197))</f>
        <v/>
      </c>
      <c r="EM197" s="3" t="str">
        <f>IF(BW197="","",SECOND(BW197))</f>
        <v/>
      </c>
      <c r="EN197" s="4">
        <f t="shared" si="19"/>
        <v>999</v>
      </c>
      <c r="EO197" s="3" t="str">
        <f>IF(DJ197="","",DAY(DJ197))</f>
        <v/>
      </c>
      <c r="EP197" s="3" t="str">
        <f>IF(DJ197="","",HOUR(DJ197))</f>
        <v/>
      </c>
      <c r="EQ197" s="3" t="str">
        <f>IF(DJ197="","",MINUTE(DJ197))</f>
        <v/>
      </c>
      <c r="ER197" s="3" t="str">
        <f>IF(DJ197="","",SECOND(DJ197))</f>
        <v/>
      </c>
      <c r="ES197" s="4">
        <f>BW197-DJ197</f>
        <v>0</v>
      </c>
      <c r="ET197" s="5">
        <f t="shared" si="20"/>
        <v>0</v>
      </c>
    </row>
    <row r="198" spans="1:150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2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3">
        <f>DAY(DN198)</f>
        <v>0</v>
      </c>
      <c r="EG198" s="3">
        <f>HOUR(DN198)</f>
        <v>0</v>
      </c>
      <c r="EH198" s="3">
        <f>MINUTE(DN198)</f>
        <v>0</v>
      </c>
      <c r="EI198" s="3">
        <f>SECOND(DN198)</f>
        <v>0</v>
      </c>
      <c r="EJ198" s="3" t="str">
        <f>IF(BW198="","",DAY(BW198))</f>
        <v/>
      </c>
      <c r="EK198" s="3" t="str">
        <f>IF(BW198="","",HOUR(BW198))</f>
        <v/>
      </c>
      <c r="EL198" s="3" t="str">
        <f>IF(BW198="","",MINUTE(BW198))</f>
        <v/>
      </c>
      <c r="EM198" s="3" t="str">
        <f>IF(BW198="","",SECOND(BW198))</f>
        <v/>
      </c>
      <c r="EN198" s="4">
        <f t="shared" si="19"/>
        <v>999</v>
      </c>
      <c r="EO198" s="3" t="str">
        <f>IF(DJ198="","",DAY(DJ198))</f>
        <v/>
      </c>
      <c r="EP198" s="3" t="str">
        <f>IF(DJ198="","",HOUR(DJ198))</f>
        <v/>
      </c>
      <c r="EQ198" s="3" t="str">
        <f>IF(DJ198="","",MINUTE(DJ198))</f>
        <v/>
      </c>
      <c r="ER198" s="3" t="str">
        <f>IF(DJ198="","",SECOND(DJ198))</f>
        <v/>
      </c>
      <c r="ES198" s="4">
        <f>BW198-DJ198</f>
        <v>0</v>
      </c>
      <c r="ET198" s="5">
        <f t="shared" si="20"/>
        <v>0</v>
      </c>
    </row>
    <row r="199" spans="1:150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2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3">
        <f>DAY(DN199)</f>
        <v>0</v>
      </c>
      <c r="EG199" s="3">
        <f>HOUR(DN199)</f>
        <v>0</v>
      </c>
      <c r="EH199" s="3">
        <f>MINUTE(DN199)</f>
        <v>0</v>
      </c>
      <c r="EI199" s="3">
        <f>SECOND(DN199)</f>
        <v>0</v>
      </c>
      <c r="EJ199" s="3" t="str">
        <f>IF(BW199="","",DAY(BW199))</f>
        <v/>
      </c>
      <c r="EK199" s="3" t="str">
        <f>IF(BW199="","",HOUR(BW199))</f>
        <v/>
      </c>
      <c r="EL199" s="3" t="str">
        <f>IF(BW199="","",MINUTE(BW199))</f>
        <v/>
      </c>
      <c r="EM199" s="3" t="str">
        <f>IF(BW199="","",SECOND(BW199))</f>
        <v/>
      </c>
      <c r="EN199" s="4">
        <f t="shared" si="19"/>
        <v>999</v>
      </c>
      <c r="EO199" s="3" t="str">
        <f>IF(DJ199="","",DAY(DJ199))</f>
        <v/>
      </c>
      <c r="EP199" s="3" t="str">
        <f>IF(DJ199="","",HOUR(DJ199))</f>
        <v/>
      </c>
      <c r="EQ199" s="3" t="str">
        <f>IF(DJ199="","",MINUTE(DJ199))</f>
        <v/>
      </c>
      <c r="ER199" s="3" t="str">
        <f>IF(DJ199="","",SECOND(DJ199))</f>
        <v/>
      </c>
      <c r="ES199" s="4">
        <f>BW199-DJ199</f>
        <v>0</v>
      </c>
      <c r="ET199" s="5">
        <f t="shared" si="20"/>
        <v>0</v>
      </c>
    </row>
    <row r="200" spans="1:150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2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3">
        <f>DAY(DN200)</f>
        <v>0</v>
      </c>
      <c r="EG200" s="3">
        <f>HOUR(DN200)</f>
        <v>0</v>
      </c>
      <c r="EH200" s="3">
        <f>MINUTE(DN200)</f>
        <v>0</v>
      </c>
      <c r="EI200" s="3">
        <f>SECOND(DN200)</f>
        <v>0</v>
      </c>
      <c r="EJ200" s="3" t="str">
        <f>IF(BW200="","",DAY(BW200))</f>
        <v/>
      </c>
      <c r="EK200" s="3" t="str">
        <f>IF(BW200="","",HOUR(BW200))</f>
        <v/>
      </c>
      <c r="EL200" s="3" t="str">
        <f>IF(BW200="","",MINUTE(BW200))</f>
        <v/>
      </c>
      <c r="EM200" s="3" t="str">
        <f>IF(BW200="","",SECOND(BW200))</f>
        <v/>
      </c>
      <c r="EN200" s="4">
        <f t="shared" si="19"/>
        <v>999</v>
      </c>
      <c r="EO200" s="3" t="str">
        <f>IF(DJ200="","",DAY(DJ200))</f>
        <v/>
      </c>
      <c r="EP200" s="3" t="str">
        <f>IF(DJ200="","",HOUR(DJ200))</f>
        <v/>
      </c>
      <c r="EQ200" s="3" t="str">
        <f>IF(DJ200="","",MINUTE(DJ200))</f>
        <v/>
      </c>
      <c r="ER200" s="3" t="str">
        <f>IF(DJ200="","",SECOND(DJ200))</f>
        <v/>
      </c>
      <c r="ES200" s="4">
        <f>BW200-DJ200</f>
        <v>0</v>
      </c>
      <c r="ET200" s="5">
        <f t="shared" si="20"/>
        <v>0</v>
      </c>
    </row>
    <row r="201" spans="1:150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2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3">
        <f>DAY(DN201)</f>
        <v>0</v>
      </c>
      <c r="EG201" s="3">
        <f>HOUR(DN201)</f>
        <v>0</v>
      </c>
      <c r="EH201" s="3">
        <f>MINUTE(DN201)</f>
        <v>0</v>
      </c>
      <c r="EI201" s="3">
        <f>SECOND(DN201)</f>
        <v>0</v>
      </c>
      <c r="EJ201" s="3" t="str">
        <f>IF(BW201="","",DAY(BW201))</f>
        <v/>
      </c>
      <c r="EK201" s="3" t="str">
        <f>IF(BW201="","",HOUR(BW201))</f>
        <v/>
      </c>
      <c r="EL201" s="3" t="str">
        <f>IF(BW201="","",MINUTE(BW201))</f>
        <v/>
      </c>
      <c r="EM201" s="3" t="str">
        <f>IF(BW201="","",SECOND(BW201))</f>
        <v/>
      </c>
      <c r="EN201" s="4">
        <f t="shared" si="19"/>
        <v>999</v>
      </c>
      <c r="EO201" s="3" t="str">
        <f>IF(DJ201="","",DAY(DJ201))</f>
        <v/>
      </c>
      <c r="EP201" s="3" t="str">
        <f>IF(DJ201="","",HOUR(DJ201))</f>
        <v/>
      </c>
      <c r="EQ201" s="3" t="str">
        <f>IF(DJ201="","",MINUTE(DJ201))</f>
        <v/>
      </c>
      <c r="ER201" s="3" t="str">
        <f>IF(DJ201="","",SECOND(DJ201))</f>
        <v/>
      </c>
      <c r="ES201" s="4">
        <f>BW201-DJ201</f>
        <v>0</v>
      </c>
      <c r="ET201" s="5">
        <f t="shared" si="20"/>
        <v>0</v>
      </c>
    </row>
    <row r="202" spans="1:150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2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3">
        <f>DAY(DN202)</f>
        <v>0</v>
      </c>
      <c r="EG202" s="3">
        <f>HOUR(DN202)</f>
        <v>0</v>
      </c>
      <c r="EH202" s="3">
        <f>MINUTE(DN202)</f>
        <v>0</v>
      </c>
      <c r="EI202" s="3">
        <f>SECOND(DN202)</f>
        <v>0</v>
      </c>
      <c r="EJ202" s="3" t="str">
        <f>IF(BW202="","",DAY(BW202))</f>
        <v/>
      </c>
      <c r="EK202" s="3" t="str">
        <f>IF(BW202="","",HOUR(BW202))</f>
        <v/>
      </c>
      <c r="EL202" s="3" t="str">
        <f>IF(BW202="","",MINUTE(BW202))</f>
        <v/>
      </c>
      <c r="EM202" s="3" t="str">
        <f>IF(BW202="","",SECOND(BW202))</f>
        <v/>
      </c>
      <c r="EN202" s="4">
        <f t="shared" si="19"/>
        <v>999</v>
      </c>
      <c r="EO202" s="3" t="str">
        <f>IF(DJ202="","",DAY(DJ202))</f>
        <v/>
      </c>
      <c r="EP202" s="3" t="str">
        <f>IF(DJ202="","",HOUR(DJ202))</f>
        <v/>
      </c>
      <c r="EQ202" s="3" t="str">
        <f>IF(DJ202="","",MINUTE(DJ202))</f>
        <v/>
      </c>
      <c r="ER202" s="3" t="str">
        <f>IF(DJ202="","",SECOND(DJ202))</f>
        <v/>
      </c>
      <c r="ES202" s="4">
        <f>BW202-DJ202</f>
        <v>0</v>
      </c>
      <c r="ET202" s="5">
        <f t="shared" si="20"/>
        <v>0</v>
      </c>
    </row>
    <row r="203" spans="1:150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2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3">
        <f>DAY(DN203)</f>
        <v>0</v>
      </c>
      <c r="EG203" s="3">
        <f>HOUR(DN203)</f>
        <v>0</v>
      </c>
      <c r="EH203" s="3">
        <f>MINUTE(DN203)</f>
        <v>0</v>
      </c>
      <c r="EI203" s="3">
        <f>SECOND(DN203)</f>
        <v>0</v>
      </c>
      <c r="EJ203" s="3" t="str">
        <f>IF(BW203="","",DAY(BW203))</f>
        <v/>
      </c>
      <c r="EK203" s="3" t="str">
        <f>IF(BW203="","",HOUR(BW203))</f>
        <v/>
      </c>
      <c r="EL203" s="3" t="str">
        <f>IF(BW203="","",MINUTE(BW203))</f>
        <v/>
      </c>
      <c r="EM203" s="3" t="str">
        <f>IF(BW203="","",SECOND(BW203))</f>
        <v/>
      </c>
      <c r="EN203" s="4">
        <f t="shared" si="19"/>
        <v>999</v>
      </c>
      <c r="EO203" s="3" t="str">
        <f>IF(DJ203="","",DAY(DJ203))</f>
        <v/>
      </c>
      <c r="EP203" s="3" t="str">
        <f>IF(DJ203="","",HOUR(DJ203))</f>
        <v/>
      </c>
      <c r="EQ203" s="3" t="str">
        <f>IF(DJ203="","",MINUTE(DJ203))</f>
        <v/>
      </c>
      <c r="ER203" s="3" t="str">
        <f>IF(DJ203="","",SECOND(DJ203))</f>
        <v/>
      </c>
      <c r="ES203" s="4">
        <f>BW203-DJ203</f>
        <v>0</v>
      </c>
      <c r="ET203" s="5">
        <f t="shared" si="20"/>
        <v>0</v>
      </c>
    </row>
    <row r="204" spans="1:150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2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3">
        <f>DAY(DN204)</f>
        <v>0</v>
      </c>
      <c r="EG204" s="3">
        <f>HOUR(DN204)</f>
        <v>0</v>
      </c>
      <c r="EH204" s="3">
        <f>MINUTE(DN204)</f>
        <v>0</v>
      </c>
      <c r="EI204" s="3">
        <f>SECOND(DN204)</f>
        <v>0</v>
      </c>
      <c r="EJ204" s="3" t="str">
        <f>IF(BW204="","",DAY(BW204))</f>
        <v/>
      </c>
      <c r="EK204" s="3" t="str">
        <f>IF(BW204="","",HOUR(BW204))</f>
        <v/>
      </c>
      <c r="EL204" s="3" t="str">
        <f>IF(BW204="","",MINUTE(BW204))</f>
        <v/>
      </c>
      <c r="EM204" s="3" t="str">
        <f>IF(BW204="","",SECOND(BW204))</f>
        <v/>
      </c>
      <c r="EN204" s="4">
        <f t="shared" si="19"/>
        <v>999</v>
      </c>
      <c r="EO204" s="3" t="str">
        <f>IF(DJ204="","",DAY(DJ204))</f>
        <v/>
      </c>
      <c r="EP204" s="3" t="str">
        <f>IF(DJ204="","",HOUR(DJ204))</f>
        <v/>
      </c>
      <c r="EQ204" s="3" t="str">
        <f>IF(DJ204="","",MINUTE(DJ204))</f>
        <v/>
      </c>
      <c r="ER204" s="3" t="str">
        <f>IF(DJ204="","",SECOND(DJ204))</f>
        <v/>
      </c>
      <c r="ES204" s="4">
        <f>BW204-DJ204</f>
        <v>0</v>
      </c>
      <c r="ET204" s="5">
        <f t="shared" si="20"/>
        <v>0</v>
      </c>
    </row>
    <row r="205" spans="1:150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2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3">
        <f>DAY(DN205)</f>
        <v>0</v>
      </c>
      <c r="EG205" s="3">
        <f>HOUR(DN205)</f>
        <v>0</v>
      </c>
      <c r="EH205" s="3">
        <f>MINUTE(DN205)</f>
        <v>0</v>
      </c>
      <c r="EI205" s="3">
        <f>SECOND(DN205)</f>
        <v>0</v>
      </c>
      <c r="EJ205" s="3" t="str">
        <f>IF(BW205="","",DAY(BW205))</f>
        <v/>
      </c>
      <c r="EK205" s="3" t="str">
        <f>IF(BW205="","",HOUR(BW205))</f>
        <v/>
      </c>
      <c r="EL205" s="3" t="str">
        <f>IF(BW205="","",MINUTE(BW205))</f>
        <v/>
      </c>
      <c r="EM205" s="3" t="str">
        <f>IF(BW205="","",SECOND(BW205))</f>
        <v/>
      </c>
      <c r="EN205" s="4">
        <f t="shared" ref="EN205:EN268" si="21">IF(EF205=EJ205,ROUND(((EK205-EG205)*60*60+(EL205-EH205)*60+EM205-EI205)/600,0),999)</f>
        <v>999</v>
      </c>
      <c r="EO205" s="3" t="str">
        <f>IF(DJ205="","",DAY(DJ205))</f>
        <v/>
      </c>
      <c r="EP205" s="3" t="str">
        <f>IF(DJ205="","",HOUR(DJ205))</f>
        <v/>
      </c>
      <c r="EQ205" s="3" t="str">
        <f>IF(DJ205="","",MINUTE(DJ205))</f>
        <v/>
      </c>
      <c r="ER205" s="3" t="str">
        <f>IF(DJ205="","",SECOND(DJ205))</f>
        <v/>
      </c>
      <c r="ES205" s="4">
        <f>BW205-DJ205</f>
        <v>0</v>
      </c>
      <c r="ET205" s="5">
        <f t="shared" si="20"/>
        <v>0</v>
      </c>
    </row>
    <row r="206" spans="1:150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2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3">
        <f>DAY(DN206)</f>
        <v>0</v>
      </c>
      <c r="EG206" s="3">
        <f>HOUR(DN206)</f>
        <v>0</v>
      </c>
      <c r="EH206" s="3">
        <f>MINUTE(DN206)</f>
        <v>0</v>
      </c>
      <c r="EI206" s="3">
        <f>SECOND(DN206)</f>
        <v>0</v>
      </c>
      <c r="EJ206" s="3" t="str">
        <f>IF(BW206="","",DAY(BW206))</f>
        <v/>
      </c>
      <c r="EK206" s="3" t="str">
        <f>IF(BW206="","",HOUR(BW206))</f>
        <v/>
      </c>
      <c r="EL206" s="3" t="str">
        <f>IF(BW206="","",MINUTE(BW206))</f>
        <v/>
      </c>
      <c r="EM206" s="3" t="str">
        <f>IF(BW206="","",SECOND(BW206))</f>
        <v/>
      </c>
      <c r="EN206" s="4">
        <f t="shared" si="21"/>
        <v>999</v>
      </c>
      <c r="EO206" s="3" t="str">
        <f>IF(DJ206="","",DAY(DJ206))</f>
        <v/>
      </c>
      <c r="EP206" s="3" t="str">
        <f>IF(DJ206="","",HOUR(DJ206))</f>
        <v/>
      </c>
      <c r="EQ206" s="3" t="str">
        <f>IF(DJ206="","",MINUTE(DJ206))</f>
        <v/>
      </c>
      <c r="ER206" s="3" t="str">
        <f>IF(DJ206="","",SECOND(DJ206))</f>
        <v/>
      </c>
      <c r="ES206" s="4">
        <f>BW206-DJ206</f>
        <v>0</v>
      </c>
      <c r="ET206" s="5">
        <f t="shared" si="20"/>
        <v>0</v>
      </c>
    </row>
    <row r="207" spans="1:150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2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3">
        <f>DAY(DN207)</f>
        <v>0</v>
      </c>
      <c r="EG207" s="3">
        <f>HOUR(DN207)</f>
        <v>0</v>
      </c>
      <c r="EH207" s="3">
        <f>MINUTE(DN207)</f>
        <v>0</v>
      </c>
      <c r="EI207" s="3">
        <f>SECOND(DN207)</f>
        <v>0</v>
      </c>
      <c r="EJ207" s="3" t="str">
        <f>IF(BW207="","",DAY(BW207))</f>
        <v/>
      </c>
      <c r="EK207" s="3" t="str">
        <f>IF(BW207="","",HOUR(BW207))</f>
        <v/>
      </c>
      <c r="EL207" s="3" t="str">
        <f>IF(BW207="","",MINUTE(BW207))</f>
        <v/>
      </c>
      <c r="EM207" s="3" t="str">
        <f>IF(BW207="","",SECOND(BW207))</f>
        <v/>
      </c>
      <c r="EN207" s="4">
        <f t="shared" si="21"/>
        <v>999</v>
      </c>
      <c r="EO207" s="3" t="str">
        <f>IF(DJ207="","",DAY(DJ207))</f>
        <v/>
      </c>
      <c r="EP207" s="3" t="str">
        <f>IF(DJ207="","",HOUR(DJ207))</f>
        <v/>
      </c>
      <c r="EQ207" s="3" t="str">
        <f>IF(DJ207="","",MINUTE(DJ207))</f>
        <v/>
      </c>
      <c r="ER207" s="3" t="str">
        <f>IF(DJ207="","",SECOND(DJ207))</f>
        <v/>
      </c>
      <c r="ES207" s="4">
        <f>BW207-DJ207</f>
        <v>0</v>
      </c>
      <c r="ET207" s="5">
        <f t="shared" si="20"/>
        <v>0</v>
      </c>
    </row>
    <row r="208" spans="1:150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2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3">
        <f>DAY(DN208)</f>
        <v>0</v>
      </c>
      <c r="EG208" s="3">
        <f>HOUR(DN208)</f>
        <v>0</v>
      </c>
      <c r="EH208" s="3">
        <f>MINUTE(DN208)</f>
        <v>0</v>
      </c>
      <c r="EI208" s="3">
        <f>SECOND(DN208)</f>
        <v>0</v>
      </c>
      <c r="EJ208" s="3" t="str">
        <f>IF(BW208="","",DAY(BW208))</f>
        <v/>
      </c>
      <c r="EK208" s="3" t="str">
        <f>IF(BW208="","",HOUR(BW208))</f>
        <v/>
      </c>
      <c r="EL208" s="3" t="str">
        <f>IF(BW208="","",MINUTE(BW208))</f>
        <v/>
      </c>
      <c r="EM208" s="3" t="str">
        <f>IF(BW208="","",SECOND(BW208))</f>
        <v/>
      </c>
      <c r="EN208" s="4">
        <f t="shared" si="21"/>
        <v>999</v>
      </c>
      <c r="EO208" s="3" t="str">
        <f>IF(DJ208="","",DAY(DJ208))</f>
        <v/>
      </c>
      <c r="EP208" s="3" t="str">
        <f>IF(DJ208="","",HOUR(DJ208))</f>
        <v/>
      </c>
      <c r="EQ208" s="3" t="str">
        <f>IF(DJ208="","",MINUTE(DJ208))</f>
        <v/>
      </c>
      <c r="ER208" s="3" t="str">
        <f>IF(DJ208="","",SECOND(DJ208))</f>
        <v/>
      </c>
      <c r="ES208" s="4">
        <f>BW208-DJ208</f>
        <v>0</v>
      </c>
      <c r="ET208" s="5">
        <f t="shared" si="20"/>
        <v>0</v>
      </c>
    </row>
    <row r="209" spans="1:150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2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3">
        <f>DAY(DN209)</f>
        <v>0</v>
      </c>
      <c r="EG209" s="3">
        <f>HOUR(DN209)</f>
        <v>0</v>
      </c>
      <c r="EH209" s="3">
        <f>MINUTE(DN209)</f>
        <v>0</v>
      </c>
      <c r="EI209" s="3">
        <f>SECOND(DN209)</f>
        <v>0</v>
      </c>
      <c r="EJ209" s="3" t="str">
        <f>IF(BW209="","",DAY(BW209))</f>
        <v/>
      </c>
      <c r="EK209" s="3" t="str">
        <f>IF(BW209="","",HOUR(BW209))</f>
        <v/>
      </c>
      <c r="EL209" s="3" t="str">
        <f>IF(BW209="","",MINUTE(BW209))</f>
        <v/>
      </c>
      <c r="EM209" s="3" t="str">
        <f>IF(BW209="","",SECOND(BW209))</f>
        <v/>
      </c>
      <c r="EN209" s="4">
        <f t="shared" si="21"/>
        <v>999</v>
      </c>
      <c r="EO209" s="3" t="str">
        <f>IF(DJ209="","",DAY(DJ209))</f>
        <v/>
      </c>
      <c r="EP209" s="3" t="str">
        <f>IF(DJ209="","",HOUR(DJ209))</f>
        <v/>
      </c>
      <c r="EQ209" s="3" t="str">
        <f>IF(DJ209="","",MINUTE(DJ209))</f>
        <v/>
      </c>
      <c r="ER209" s="3" t="str">
        <f>IF(DJ209="","",SECOND(DJ209))</f>
        <v/>
      </c>
      <c r="ES209" s="4">
        <f>BW209-DJ209</f>
        <v>0</v>
      </c>
      <c r="ET209" s="5">
        <f t="shared" si="20"/>
        <v>0</v>
      </c>
    </row>
    <row r="210" spans="1:150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2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3">
        <f>DAY(DN210)</f>
        <v>0</v>
      </c>
      <c r="EG210" s="3">
        <f>HOUR(DN210)</f>
        <v>0</v>
      </c>
      <c r="EH210" s="3">
        <f>MINUTE(DN210)</f>
        <v>0</v>
      </c>
      <c r="EI210" s="3">
        <f>SECOND(DN210)</f>
        <v>0</v>
      </c>
      <c r="EJ210" s="3" t="str">
        <f>IF(BW210="","",DAY(BW210))</f>
        <v/>
      </c>
      <c r="EK210" s="3" t="str">
        <f>IF(BW210="","",HOUR(BW210))</f>
        <v/>
      </c>
      <c r="EL210" s="3" t="str">
        <f>IF(BW210="","",MINUTE(BW210))</f>
        <v/>
      </c>
      <c r="EM210" s="3" t="str">
        <f>IF(BW210="","",SECOND(BW210))</f>
        <v/>
      </c>
      <c r="EN210" s="4">
        <f t="shared" si="21"/>
        <v>999</v>
      </c>
      <c r="EO210" s="3" t="str">
        <f>IF(DJ210="","",DAY(DJ210))</f>
        <v/>
      </c>
      <c r="EP210" s="3" t="str">
        <f>IF(DJ210="","",HOUR(DJ210))</f>
        <v/>
      </c>
      <c r="EQ210" s="3" t="str">
        <f>IF(DJ210="","",MINUTE(DJ210))</f>
        <v/>
      </c>
      <c r="ER210" s="3" t="str">
        <f>IF(DJ210="","",SECOND(DJ210))</f>
        <v/>
      </c>
      <c r="ES210" s="4">
        <f>BW210-DJ210</f>
        <v>0</v>
      </c>
      <c r="ET210" s="5">
        <f t="shared" si="20"/>
        <v>0</v>
      </c>
    </row>
    <row r="211" spans="1:150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2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3">
        <f>DAY(DN211)</f>
        <v>0</v>
      </c>
      <c r="EG211" s="3">
        <f>HOUR(DN211)</f>
        <v>0</v>
      </c>
      <c r="EH211" s="3">
        <f>MINUTE(DN211)</f>
        <v>0</v>
      </c>
      <c r="EI211" s="3">
        <f>SECOND(DN211)</f>
        <v>0</v>
      </c>
      <c r="EJ211" s="3" t="str">
        <f>IF(BW211="","",DAY(BW211))</f>
        <v/>
      </c>
      <c r="EK211" s="3" t="str">
        <f>IF(BW211="","",HOUR(BW211))</f>
        <v/>
      </c>
      <c r="EL211" s="3" t="str">
        <f>IF(BW211="","",MINUTE(BW211))</f>
        <v/>
      </c>
      <c r="EM211" s="3" t="str">
        <f>IF(BW211="","",SECOND(BW211))</f>
        <v/>
      </c>
      <c r="EN211" s="4">
        <f t="shared" si="21"/>
        <v>999</v>
      </c>
      <c r="EO211" s="3" t="str">
        <f>IF(DJ211="","",DAY(DJ211))</f>
        <v/>
      </c>
      <c r="EP211" s="3" t="str">
        <f>IF(DJ211="","",HOUR(DJ211))</f>
        <v/>
      </c>
      <c r="EQ211" s="3" t="str">
        <f>IF(DJ211="","",MINUTE(DJ211))</f>
        <v/>
      </c>
      <c r="ER211" s="3" t="str">
        <f>IF(DJ211="","",SECOND(DJ211))</f>
        <v/>
      </c>
      <c r="ES211" s="4">
        <f>BW211-DJ211</f>
        <v>0</v>
      </c>
      <c r="ET211" s="5">
        <f t="shared" si="20"/>
        <v>0</v>
      </c>
    </row>
    <row r="212" spans="1:150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2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3">
        <f>DAY(DN212)</f>
        <v>0</v>
      </c>
      <c r="EG212" s="3">
        <f>HOUR(DN212)</f>
        <v>0</v>
      </c>
      <c r="EH212" s="3">
        <f>MINUTE(DN212)</f>
        <v>0</v>
      </c>
      <c r="EI212" s="3">
        <f>SECOND(DN212)</f>
        <v>0</v>
      </c>
      <c r="EJ212" s="3" t="str">
        <f>IF(BW212="","",DAY(BW212))</f>
        <v/>
      </c>
      <c r="EK212" s="3" t="str">
        <f>IF(BW212="","",HOUR(BW212))</f>
        <v/>
      </c>
      <c r="EL212" s="3" t="str">
        <f>IF(BW212="","",MINUTE(BW212))</f>
        <v/>
      </c>
      <c r="EM212" s="3" t="str">
        <f>IF(BW212="","",SECOND(BW212))</f>
        <v/>
      </c>
      <c r="EN212" s="4">
        <f t="shared" si="21"/>
        <v>999</v>
      </c>
      <c r="EO212" s="3" t="str">
        <f>IF(DJ212="","",DAY(DJ212))</f>
        <v/>
      </c>
      <c r="EP212" s="3" t="str">
        <f>IF(DJ212="","",HOUR(DJ212))</f>
        <v/>
      </c>
      <c r="EQ212" s="3" t="str">
        <f>IF(DJ212="","",MINUTE(DJ212))</f>
        <v/>
      </c>
      <c r="ER212" s="3" t="str">
        <f>IF(DJ212="","",SECOND(DJ212))</f>
        <v/>
      </c>
      <c r="ES212" s="4">
        <f>BW212-DJ212</f>
        <v>0</v>
      </c>
      <c r="ET212" s="5">
        <f t="shared" si="20"/>
        <v>0</v>
      </c>
    </row>
    <row r="213" spans="1:150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2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3">
        <f>DAY(DN213)</f>
        <v>0</v>
      </c>
      <c r="EG213" s="3">
        <f>HOUR(DN213)</f>
        <v>0</v>
      </c>
      <c r="EH213" s="3">
        <f>MINUTE(DN213)</f>
        <v>0</v>
      </c>
      <c r="EI213" s="3">
        <f>SECOND(DN213)</f>
        <v>0</v>
      </c>
      <c r="EJ213" s="3" t="str">
        <f>IF(BW213="","",DAY(BW213))</f>
        <v/>
      </c>
      <c r="EK213" s="3" t="str">
        <f>IF(BW213="","",HOUR(BW213))</f>
        <v/>
      </c>
      <c r="EL213" s="3" t="str">
        <f>IF(BW213="","",MINUTE(BW213))</f>
        <v/>
      </c>
      <c r="EM213" s="3" t="str">
        <f>IF(BW213="","",SECOND(BW213))</f>
        <v/>
      </c>
      <c r="EN213" s="4">
        <f t="shared" si="21"/>
        <v>999</v>
      </c>
      <c r="EO213" s="3" t="str">
        <f>IF(DJ213="","",DAY(DJ213))</f>
        <v/>
      </c>
      <c r="EP213" s="3" t="str">
        <f>IF(DJ213="","",HOUR(DJ213))</f>
        <v/>
      </c>
      <c r="EQ213" s="3" t="str">
        <f>IF(DJ213="","",MINUTE(DJ213))</f>
        <v/>
      </c>
      <c r="ER213" s="3" t="str">
        <f>IF(DJ213="","",SECOND(DJ213))</f>
        <v/>
      </c>
      <c r="ES213" s="4">
        <f>BW213-DJ213</f>
        <v>0</v>
      </c>
      <c r="ET213" s="5">
        <f t="shared" si="20"/>
        <v>0</v>
      </c>
    </row>
    <row r="214" spans="1:150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2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3">
        <f>DAY(DN214)</f>
        <v>0</v>
      </c>
      <c r="EG214" s="3">
        <f>HOUR(DN214)</f>
        <v>0</v>
      </c>
      <c r="EH214" s="3">
        <f>MINUTE(DN214)</f>
        <v>0</v>
      </c>
      <c r="EI214" s="3">
        <f>SECOND(DN214)</f>
        <v>0</v>
      </c>
      <c r="EJ214" s="3" t="str">
        <f>IF(BW214="","",DAY(BW214))</f>
        <v/>
      </c>
      <c r="EK214" s="3" t="str">
        <f>IF(BW214="","",HOUR(BW214))</f>
        <v/>
      </c>
      <c r="EL214" s="3" t="str">
        <f>IF(BW214="","",MINUTE(BW214))</f>
        <v/>
      </c>
      <c r="EM214" s="3" t="str">
        <f>IF(BW214="","",SECOND(BW214))</f>
        <v/>
      </c>
      <c r="EN214" s="4">
        <f t="shared" si="21"/>
        <v>999</v>
      </c>
      <c r="EO214" s="3" t="str">
        <f>IF(DJ214="","",DAY(DJ214))</f>
        <v/>
      </c>
      <c r="EP214" s="3" t="str">
        <f>IF(DJ214="","",HOUR(DJ214))</f>
        <v/>
      </c>
      <c r="EQ214" s="3" t="str">
        <f>IF(DJ214="","",MINUTE(DJ214))</f>
        <v/>
      </c>
      <c r="ER214" s="3" t="str">
        <f>IF(DJ214="","",SECOND(DJ214))</f>
        <v/>
      </c>
      <c r="ES214" s="4">
        <f>BW214-DJ214</f>
        <v>0</v>
      </c>
      <c r="ET214" s="5">
        <f t="shared" si="20"/>
        <v>0</v>
      </c>
    </row>
    <row r="215" spans="1:150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2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3">
        <f>DAY(DN215)</f>
        <v>0</v>
      </c>
      <c r="EG215" s="3">
        <f>HOUR(DN215)</f>
        <v>0</v>
      </c>
      <c r="EH215" s="3">
        <f>MINUTE(DN215)</f>
        <v>0</v>
      </c>
      <c r="EI215" s="3">
        <f>SECOND(DN215)</f>
        <v>0</v>
      </c>
      <c r="EJ215" s="3" t="str">
        <f>IF(BW215="","",DAY(BW215))</f>
        <v/>
      </c>
      <c r="EK215" s="3" t="str">
        <f>IF(BW215="","",HOUR(BW215))</f>
        <v/>
      </c>
      <c r="EL215" s="3" t="str">
        <f>IF(BW215="","",MINUTE(BW215))</f>
        <v/>
      </c>
      <c r="EM215" s="3" t="str">
        <f>IF(BW215="","",SECOND(BW215))</f>
        <v/>
      </c>
      <c r="EN215" s="4">
        <f t="shared" si="21"/>
        <v>999</v>
      </c>
      <c r="EO215" s="3" t="str">
        <f>IF(DJ215="","",DAY(DJ215))</f>
        <v/>
      </c>
      <c r="EP215" s="3" t="str">
        <f>IF(DJ215="","",HOUR(DJ215))</f>
        <v/>
      </c>
      <c r="EQ215" s="3" t="str">
        <f>IF(DJ215="","",MINUTE(DJ215))</f>
        <v/>
      </c>
      <c r="ER215" s="3" t="str">
        <f>IF(DJ215="","",SECOND(DJ215))</f>
        <v/>
      </c>
      <c r="ES215" s="4">
        <f>BW215-DJ215</f>
        <v>0</v>
      </c>
      <c r="ET215" s="5">
        <f t="shared" si="20"/>
        <v>0</v>
      </c>
    </row>
    <row r="216" spans="1:150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2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3">
        <f>DAY(DN216)</f>
        <v>0</v>
      </c>
      <c r="EG216" s="3">
        <f>HOUR(DN216)</f>
        <v>0</v>
      </c>
      <c r="EH216" s="3">
        <f>MINUTE(DN216)</f>
        <v>0</v>
      </c>
      <c r="EI216" s="3">
        <f>SECOND(DN216)</f>
        <v>0</v>
      </c>
      <c r="EJ216" s="3" t="str">
        <f>IF(BW216="","",DAY(BW216))</f>
        <v/>
      </c>
      <c r="EK216" s="3" t="str">
        <f>IF(BW216="","",HOUR(BW216))</f>
        <v/>
      </c>
      <c r="EL216" s="3" t="str">
        <f>IF(BW216="","",MINUTE(BW216))</f>
        <v/>
      </c>
      <c r="EM216" s="3" t="str">
        <f>IF(BW216="","",SECOND(BW216))</f>
        <v/>
      </c>
      <c r="EN216" s="4">
        <f t="shared" si="21"/>
        <v>999</v>
      </c>
      <c r="EO216" s="3" t="str">
        <f>IF(DJ216="","",DAY(DJ216))</f>
        <v/>
      </c>
      <c r="EP216" s="3" t="str">
        <f>IF(DJ216="","",HOUR(DJ216))</f>
        <v/>
      </c>
      <c r="EQ216" s="3" t="str">
        <f>IF(DJ216="","",MINUTE(DJ216))</f>
        <v/>
      </c>
      <c r="ER216" s="3" t="str">
        <f>IF(DJ216="","",SECOND(DJ216))</f>
        <v/>
      </c>
      <c r="ES216" s="4">
        <f>BW216-DJ216</f>
        <v>0</v>
      </c>
      <c r="ET216" s="5">
        <f t="shared" si="20"/>
        <v>0</v>
      </c>
    </row>
    <row r="217" spans="1:150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2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3">
        <f>DAY(DN217)</f>
        <v>0</v>
      </c>
      <c r="EG217" s="3">
        <f>HOUR(DN217)</f>
        <v>0</v>
      </c>
      <c r="EH217" s="3">
        <f>MINUTE(DN217)</f>
        <v>0</v>
      </c>
      <c r="EI217" s="3">
        <f>SECOND(DN217)</f>
        <v>0</v>
      </c>
      <c r="EJ217" s="3" t="str">
        <f>IF(BW217="","",DAY(BW217))</f>
        <v/>
      </c>
      <c r="EK217" s="3" t="str">
        <f>IF(BW217="","",HOUR(BW217))</f>
        <v/>
      </c>
      <c r="EL217" s="3" t="str">
        <f>IF(BW217="","",MINUTE(BW217))</f>
        <v/>
      </c>
      <c r="EM217" s="3" t="str">
        <f>IF(BW217="","",SECOND(BW217))</f>
        <v/>
      </c>
      <c r="EN217" s="4">
        <f t="shared" si="21"/>
        <v>999</v>
      </c>
      <c r="EO217" s="3" t="str">
        <f>IF(DJ217="","",DAY(DJ217))</f>
        <v/>
      </c>
      <c r="EP217" s="3" t="str">
        <f>IF(DJ217="","",HOUR(DJ217))</f>
        <v/>
      </c>
      <c r="EQ217" s="3" t="str">
        <f>IF(DJ217="","",MINUTE(DJ217))</f>
        <v/>
      </c>
      <c r="ER217" s="3" t="str">
        <f>IF(DJ217="","",SECOND(DJ217))</f>
        <v/>
      </c>
      <c r="ES217" s="4">
        <f>BW217-DJ217</f>
        <v>0</v>
      </c>
      <c r="ET217" s="5">
        <f t="shared" si="20"/>
        <v>0</v>
      </c>
    </row>
    <row r="218" spans="1:150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2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3">
        <f>DAY(DN218)</f>
        <v>0</v>
      </c>
      <c r="EG218" s="3">
        <f>HOUR(DN218)</f>
        <v>0</v>
      </c>
      <c r="EH218" s="3">
        <f>MINUTE(DN218)</f>
        <v>0</v>
      </c>
      <c r="EI218" s="3">
        <f>SECOND(DN218)</f>
        <v>0</v>
      </c>
      <c r="EJ218" s="3" t="str">
        <f>IF(BW218="","",DAY(BW218))</f>
        <v/>
      </c>
      <c r="EK218" s="3" t="str">
        <f>IF(BW218="","",HOUR(BW218))</f>
        <v/>
      </c>
      <c r="EL218" s="3" t="str">
        <f>IF(BW218="","",MINUTE(BW218))</f>
        <v/>
      </c>
      <c r="EM218" s="3" t="str">
        <f>IF(BW218="","",SECOND(BW218))</f>
        <v/>
      </c>
      <c r="EN218" s="4">
        <f t="shared" si="21"/>
        <v>999</v>
      </c>
      <c r="EO218" s="3" t="str">
        <f>IF(DJ218="","",DAY(DJ218))</f>
        <v/>
      </c>
      <c r="EP218" s="3" t="str">
        <f>IF(DJ218="","",HOUR(DJ218))</f>
        <v/>
      </c>
      <c r="EQ218" s="3" t="str">
        <f>IF(DJ218="","",MINUTE(DJ218))</f>
        <v/>
      </c>
      <c r="ER218" s="3" t="str">
        <f>IF(DJ218="","",SECOND(DJ218))</f>
        <v/>
      </c>
      <c r="ES218" s="4">
        <f>BW218-DJ218</f>
        <v>0</v>
      </c>
      <c r="ET218" s="5">
        <f t="shared" si="20"/>
        <v>0</v>
      </c>
    </row>
    <row r="219" spans="1:150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2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3">
        <f>DAY(DN219)</f>
        <v>0</v>
      </c>
      <c r="EG219" s="3">
        <f>HOUR(DN219)</f>
        <v>0</v>
      </c>
      <c r="EH219" s="3">
        <f>MINUTE(DN219)</f>
        <v>0</v>
      </c>
      <c r="EI219" s="3">
        <f>SECOND(DN219)</f>
        <v>0</v>
      </c>
      <c r="EJ219" s="3" t="str">
        <f>IF(BW219="","",DAY(BW219))</f>
        <v/>
      </c>
      <c r="EK219" s="3" t="str">
        <f>IF(BW219="","",HOUR(BW219))</f>
        <v/>
      </c>
      <c r="EL219" s="3" t="str">
        <f>IF(BW219="","",MINUTE(BW219))</f>
        <v/>
      </c>
      <c r="EM219" s="3" t="str">
        <f>IF(BW219="","",SECOND(BW219))</f>
        <v/>
      </c>
      <c r="EN219" s="4">
        <f t="shared" si="21"/>
        <v>999</v>
      </c>
      <c r="EO219" s="3" t="str">
        <f>IF(DJ219="","",DAY(DJ219))</f>
        <v/>
      </c>
      <c r="EP219" s="3" t="str">
        <f>IF(DJ219="","",HOUR(DJ219))</f>
        <v/>
      </c>
      <c r="EQ219" s="3" t="str">
        <f>IF(DJ219="","",MINUTE(DJ219))</f>
        <v/>
      </c>
      <c r="ER219" s="3" t="str">
        <f>IF(DJ219="","",SECOND(DJ219))</f>
        <v/>
      </c>
      <c r="ES219" s="4">
        <f>BW219-DJ219</f>
        <v>0</v>
      </c>
      <c r="ET219" s="5">
        <f t="shared" si="20"/>
        <v>0</v>
      </c>
    </row>
    <row r="220" spans="1:150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2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3">
        <f>DAY(DN220)</f>
        <v>0</v>
      </c>
      <c r="EG220" s="3">
        <f>HOUR(DN220)</f>
        <v>0</v>
      </c>
      <c r="EH220" s="3">
        <f>MINUTE(DN220)</f>
        <v>0</v>
      </c>
      <c r="EI220" s="3">
        <f>SECOND(DN220)</f>
        <v>0</v>
      </c>
      <c r="EJ220" s="3" t="str">
        <f>IF(BW220="","",DAY(BW220))</f>
        <v/>
      </c>
      <c r="EK220" s="3" t="str">
        <f>IF(BW220="","",HOUR(BW220))</f>
        <v/>
      </c>
      <c r="EL220" s="3" t="str">
        <f>IF(BW220="","",MINUTE(BW220))</f>
        <v/>
      </c>
      <c r="EM220" s="3" t="str">
        <f>IF(BW220="","",SECOND(BW220))</f>
        <v/>
      </c>
      <c r="EN220" s="4">
        <f t="shared" si="21"/>
        <v>999</v>
      </c>
      <c r="EO220" s="3" t="str">
        <f>IF(DJ220="","",DAY(DJ220))</f>
        <v/>
      </c>
      <c r="EP220" s="3" t="str">
        <f>IF(DJ220="","",HOUR(DJ220))</f>
        <v/>
      </c>
      <c r="EQ220" s="3" t="str">
        <f>IF(DJ220="","",MINUTE(DJ220))</f>
        <v/>
      </c>
      <c r="ER220" s="3" t="str">
        <f>IF(DJ220="","",SECOND(DJ220))</f>
        <v/>
      </c>
      <c r="ES220" s="4">
        <f>BW220-DJ220</f>
        <v>0</v>
      </c>
      <c r="ET220" s="5">
        <f t="shared" si="20"/>
        <v>0</v>
      </c>
    </row>
    <row r="221" spans="1:150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2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3">
        <f>DAY(DN221)</f>
        <v>0</v>
      </c>
      <c r="EG221" s="3">
        <f>HOUR(DN221)</f>
        <v>0</v>
      </c>
      <c r="EH221" s="3">
        <f>MINUTE(DN221)</f>
        <v>0</v>
      </c>
      <c r="EI221" s="3">
        <f>SECOND(DN221)</f>
        <v>0</v>
      </c>
      <c r="EJ221" s="3" t="str">
        <f>IF(BW221="","",DAY(BW221))</f>
        <v/>
      </c>
      <c r="EK221" s="3" t="str">
        <f>IF(BW221="","",HOUR(BW221))</f>
        <v/>
      </c>
      <c r="EL221" s="3" t="str">
        <f>IF(BW221="","",MINUTE(BW221))</f>
        <v/>
      </c>
      <c r="EM221" s="3" t="str">
        <f>IF(BW221="","",SECOND(BW221))</f>
        <v/>
      </c>
      <c r="EN221" s="4">
        <f t="shared" si="21"/>
        <v>999</v>
      </c>
      <c r="EO221" s="3" t="str">
        <f>IF(DJ221="","",DAY(DJ221))</f>
        <v/>
      </c>
      <c r="EP221" s="3" t="str">
        <f>IF(DJ221="","",HOUR(DJ221))</f>
        <v/>
      </c>
      <c r="EQ221" s="3" t="str">
        <f>IF(DJ221="","",MINUTE(DJ221))</f>
        <v/>
      </c>
      <c r="ER221" s="3" t="str">
        <f>IF(DJ221="","",SECOND(DJ221))</f>
        <v/>
      </c>
      <c r="ES221" s="4">
        <f>BW221-DJ221</f>
        <v>0</v>
      </c>
      <c r="ET221" s="5">
        <f t="shared" si="20"/>
        <v>0</v>
      </c>
    </row>
    <row r="222" spans="1:150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2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3">
        <f>DAY(DN222)</f>
        <v>0</v>
      </c>
      <c r="EG222" s="3">
        <f>HOUR(DN222)</f>
        <v>0</v>
      </c>
      <c r="EH222" s="3">
        <f>MINUTE(DN222)</f>
        <v>0</v>
      </c>
      <c r="EI222" s="3">
        <f>SECOND(DN222)</f>
        <v>0</v>
      </c>
      <c r="EJ222" s="3" t="str">
        <f>IF(BW222="","",DAY(BW222))</f>
        <v/>
      </c>
      <c r="EK222" s="3" t="str">
        <f>IF(BW222="","",HOUR(BW222))</f>
        <v/>
      </c>
      <c r="EL222" s="3" t="str">
        <f>IF(BW222="","",MINUTE(BW222))</f>
        <v/>
      </c>
      <c r="EM222" s="3" t="str">
        <f>IF(BW222="","",SECOND(BW222))</f>
        <v/>
      </c>
      <c r="EN222" s="4">
        <f t="shared" si="21"/>
        <v>999</v>
      </c>
      <c r="EO222" s="3" t="str">
        <f>IF(DJ222="","",DAY(DJ222))</f>
        <v/>
      </c>
      <c r="EP222" s="3" t="str">
        <f>IF(DJ222="","",HOUR(DJ222))</f>
        <v/>
      </c>
      <c r="EQ222" s="3" t="str">
        <f>IF(DJ222="","",MINUTE(DJ222))</f>
        <v/>
      </c>
      <c r="ER222" s="3" t="str">
        <f>IF(DJ222="","",SECOND(DJ222))</f>
        <v/>
      </c>
      <c r="ES222" s="4">
        <f>BW222-DJ222</f>
        <v>0</v>
      </c>
      <c r="ET222" s="5">
        <f t="shared" si="20"/>
        <v>0</v>
      </c>
    </row>
    <row r="223" spans="1:150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2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3">
        <f>DAY(DN223)</f>
        <v>0</v>
      </c>
      <c r="EG223" s="3">
        <f>HOUR(DN223)</f>
        <v>0</v>
      </c>
      <c r="EH223" s="3">
        <f>MINUTE(DN223)</f>
        <v>0</v>
      </c>
      <c r="EI223" s="3">
        <f>SECOND(DN223)</f>
        <v>0</v>
      </c>
      <c r="EJ223" s="3" t="str">
        <f>IF(BW223="","",DAY(BW223))</f>
        <v/>
      </c>
      <c r="EK223" s="3" t="str">
        <f>IF(BW223="","",HOUR(BW223))</f>
        <v/>
      </c>
      <c r="EL223" s="3" t="str">
        <f>IF(BW223="","",MINUTE(BW223))</f>
        <v/>
      </c>
      <c r="EM223" s="3" t="str">
        <f>IF(BW223="","",SECOND(BW223))</f>
        <v/>
      </c>
      <c r="EN223" s="4">
        <f t="shared" si="21"/>
        <v>999</v>
      </c>
      <c r="EO223" s="3" t="str">
        <f>IF(DJ223="","",DAY(DJ223))</f>
        <v/>
      </c>
      <c r="EP223" s="3" t="str">
        <f>IF(DJ223="","",HOUR(DJ223))</f>
        <v/>
      </c>
      <c r="EQ223" s="3" t="str">
        <f>IF(DJ223="","",MINUTE(DJ223))</f>
        <v/>
      </c>
      <c r="ER223" s="3" t="str">
        <f>IF(DJ223="","",SECOND(DJ223))</f>
        <v/>
      </c>
      <c r="ES223" s="4">
        <f>BW223-DJ223</f>
        <v>0</v>
      </c>
      <c r="ET223" s="5">
        <f t="shared" si="20"/>
        <v>0</v>
      </c>
    </row>
    <row r="224" spans="1:150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2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3">
        <f>DAY(DN224)</f>
        <v>0</v>
      </c>
      <c r="EG224" s="3">
        <f>HOUR(DN224)</f>
        <v>0</v>
      </c>
      <c r="EH224" s="3">
        <f>MINUTE(DN224)</f>
        <v>0</v>
      </c>
      <c r="EI224" s="3">
        <f>SECOND(DN224)</f>
        <v>0</v>
      </c>
      <c r="EJ224" s="3" t="str">
        <f>IF(BW224="","",DAY(BW224))</f>
        <v/>
      </c>
      <c r="EK224" s="3" t="str">
        <f>IF(BW224="","",HOUR(BW224))</f>
        <v/>
      </c>
      <c r="EL224" s="3" t="str">
        <f>IF(BW224="","",MINUTE(BW224))</f>
        <v/>
      </c>
      <c r="EM224" s="3" t="str">
        <f>IF(BW224="","",SECOND(BW224))</f>
        <v/>
      </c>
      <c r="EN224" s="4">
        <f t="shared" si="21"/>
        <v>999</v>
      </c>
      <c r="EO224" s="3" t="str">
        <f>IF(DJ224="","",DAY(DJ224))</f>
        <v/>
      </c>
      <c r="EP224" s="3" t="str">
        <f>IF(DJ224="","",HOUR(DJ224))</f>
        <v/>
      </c>
      <c r="EQ224" s="3" t="str">
        <f>IF(DJ224="","",MINUTE(DJ224))</f>
        <v/>
      </c>
      <c r="ER224" s="3" t="str">
        <f>IF(DJ224="","",SECOND(DJ224))</f>
        <v/>
      </c>
      <c r="ES224" s="4">
        <f>BW224-DJ224</f>
        <v>0</v>
      </c>
      <c r="ET224" s="5">
        <f t="shared" si="20"/>
        <v>0</v>
      </c>
    </row>
    <row r="225" spans="1:150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2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3">
        <f>DAY(DN225)</f>
        <v>0</v>
      </c>
      <c r="EG225" s="3">
        <f>HOUR(DN225)</f>
        <v>0</v>
      </c>
      <c r="EH225" s="3">
        <f>MINUTE(DN225)</f>
        <v>0</v>
      </c>
      <c r="EI225" s="3">
        <f>SECOND(DN225)</f>
        <v>0</v>
      </c>
      <c r="EJ225" s="3" t="str">
        <f>IF(BW225="","",DAY(BW225))</f>
        <v/>
      </c>
      <c r="EK225" s="3" t="str">
        <f>IF(BW225="","",HOUR(BW225))</f>
        <v/>
      </c>
      <c r="EL225" s="3" t="str">
        <f>IF(BW225="","",MINUTE(BW225))</f>
        <v/>
      </c>
      <c r="EM225" s="3" t="str">
        <f>IF(BW225="","",SECOND(BW225))</f>
        <v/>
      </c>
      <c r="EN225" s="4">
        <f t="shared" si="21"/>
        <v>999</v>
      </c>
      <c r="EO225" s="3" t="str">
        <f>IF(DJ225="","",DAY(DJ225))</f>
        <v/>
      </c>
      <c r="EP225" s="3" t="str">
        <f>IF(DJ225="","",HOUR(DJ225))</f>
        <v/>
      </c>
      <c r="EQ225" s="3" t="str">
        <f>IF(DJ225="","",MINUTE(DJ225))</f>
        <v/>
      </c>
      <c r="ER225" s="3" t="str">
        <f>IF(DJ225="","",SECOND(DJ225))</f>
        <v/>
      </c>
      <c r="ES225" s="4">
        <f>BW225-DJ225</f>
        <v>0</v>
      </c>
      <c r="ET225" s="5">
        <f t="shared" si="20"/>
        <v>0</v>
      </c>
    </row>
    <row r="226" spans="1:150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2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3">
        <f>DAY(DN226)</f>
        <v>0</v>
      </c>
      <c r="EG226" s="3">
        <f>HOUR(DN226)</f>
        <v>0</v>
      </c>
      <c r="EH226" s="3">
        <f>MINUTE(DN226)</f>
        <v>0</v>
      </c>
      <c r="EI226" s="3">
        <f>SECOND(DN226)</f>
        <v>0</v>
      </c>
      <c r="EJ226" s="3" t="str">
        <f>IF(BW226="","",DAY(BW226))</f>
        <v/>
      </c>
      <c r="EK226" s="3" t="str">
        <f>IF(BW226="","",HOUR(BW226))</f>
        <v/>
      </c>
      <c r="EL226" s="3" t="str">
        <f>IF(BW226="","",MINUTE(BW226))</f>
        <v/>
      </c>
      <c r="EM226" s="3" t="str">
        <f>IF(BW226="","",SECOND(BW226))</f>
        <v/>
      </c>
      <c r="EN226" s="4">
        <f t="shared" si="21"/>
        <v>999</v>
      </c>
      <c r="EO226" s="3" t="str">
        <f>IF(DJ226="","",DAY(DJ226))</f>
        <v/>
      </c>
      <c r="EP226" s="3" t="str">
        <f>IF(DJ226="","",HOUR(DJ226))</f>
        <v/>
      </c>
      <c r="EQ226" s="3" t="str">
        <f>IF(DJ226="","",MINUTE(DJ226))</f>
        <v/>
      </c>
      <c r="ER226" s="3" t="str">
        <f>IF(DJ226="","",SECOND(DJ226))</f>
        <v/>
      </c>
      <c r="ES226" s="4">
        <f>BW226-DJ226</f>
        <v>0</v>
      </c>
      <c r="ET226" s="5">
        <f t="shared" si="20"/>
        <v>0</v>
      </c>
    </row>
    <row r="227" spans="1:150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2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3">
        <f>DAY(DN227)</f>
        <v>0</v>
      </c>
      <c r="EG227" s="3">
        <f>HOUR(DN227)</f>
        <v>0</v>
      </c>
      <c r="EH227" s="3">
        <f>MINUTE(DN227)</f>
        <v>0</v>
      </c>
      <c r="EI227" s="3">
        <f>SECOND(DN227)</f>
        <v>0</v>
      </c>
      <c r="EJ227" s="3" t="str">
        <f>IF(BW227="","",DAY(BW227))</f>
        <v/>
      </c>
      <c r="EK227" s="3" t="str">
        <f>IF(BW227="","",HOUR(BW227))</f>
        <v/>
      </c>
      <c r="EL227" s="3" t="str">
        <f>IF(BW227="","",MINUTE(BW227))</f>
        <v/>
      </c>
      <c r="EM227" s="3" t="str">
        <f>IF(BW227="","",SECOND(BW227))</f>
        <v/>
      </c>
      <c r="EN227" s="4">
        <f t="shared" si="21"/>
        <v>999</v>
      </c>
      <c r="EO227" s="3" t="str">
        <f>IF(DJ227="","",DAY(DJ227))</f>
        <v/>
      </c>
      <c r="EP227" s="3" t="str">
        <f>IF(DJ227="","",HOUR(DJ227))</f>
        <v/>
      </c>
      <c r="EQ227" s="3" t="str">
        <f>IF(DJ227="","",MINUTE(DJ227))</f>
        <v/>
      </c>
      <c r="ER227" s="3" t="str">
        <f>IF(DJ227="","",SECOND(DJ227))</f>
        <v/>
      </c>
      <c r="ES227" s="4">
        <f>BW227-DJ227</f>
        <v>0</v>
      </c>
      <c r="ET227" s="5">
        <f t="shared" si="20"/>
        <v>0</v>
      </c>
    </row>
    <row r="228" spans="1:150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2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3">
        <f>DAY(DN228)</f>
        <v>0</v>
      </c>
      <c r="EG228" s="3">
        <f>HOUR(DN228)</f>
        <v>0</v>
      </c>
      <c r="EH228" s="3">
        <f>MINUTE(DN228)</f>
        <v>0</v>
      </c>
      <c r="EI228" s="3">
        <f>SECOND(DN228)</f>
        <v>0</v>
      </c>
      <c r="EJ228" s="3" t="str">
        <f>IF(BW228="","",DAY(BW228))</f>
        <v/>
      </c>
      <c r="EK228" s="3" t="str">
        <f>IF(BW228="","",HOUR(BW228))</f>
        <v/>
      </c>
      <c r="EL228" s="3" t="str">
        <f>IF(BW228="","",MINUTE(BW228))</f>
        <v/>
      </c>
      <c r="EM228" s="3" t="str">
        <f>IF(BW228="","",SECOND(BW228))</f>
        <v/>
      </c>
      <c r="EN228" s="4">
        <f t="shared" si="21"/>
        <v>999</v>
      </c>
      <c r="EO228" s="3" t="str">
        <f>IF(DJ228="","",DAY(DJ228))</f>
        <v/>
      </c>
      <c r="EP228" s="3" t="str">
        <f>IF(DJ228="","",HOUR(DJ228))</f>
        <v/>
      </c>
      <c r="EQ228" s="3" t="str">
        <f>IF(DJ228="","",MINUTE(DJ228))</f>
        <v/>
      </c>
      <c r="ER228" s="3" t="str">
        <f>IF(DJ228="","",SECOND(DJ228))</f>
        <v/>
      </c>
      <c r="ES228" s="4">
        <f>BW228-DJ228</f>
        <v>0</v>
      </c>
      <c r="ET228" s="5">
        <f t="shared" si="20"/>
        <v>0</v>
      </c>
    </row>
    <row r="229" spans="1:150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2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3">
        <f>DAY(DN229)</f>
        <v>0</v>
      </c>
      <c r="EG229" s="3">
        <f>HOUR(DN229)</f>
        <v>0</v>
      </c>
      <c r="EH229" s="3">
        <f>MINUTE(DN229)</f>
        <v>0</v>
      </c>
      <c r="EI229" s="3">
        <f>SECOND(DN229)</f>
        <v>0</v>
      </c>
      <c r="EJ229" s="3" t="str">
        <f>IF(BW229="","",DAY(BW229))</f>
        <v/>
      </c>
      <c r="EK229" s="3" t="str">
        <f>IF(BW229="","",HOUR(BW229))</f>
        <v/>
      </c>
      <c r="EL229" s="3" t="str">
        <f>IF(BW229="","",MINUTE(BW229))</f>
        <v/>
      </c>
      <c r="EM229" s="3" t="str">
        <f>IF(BW229="","",SECOND(BW229))</f>
        <v/>
      </c>
      <c r="EN229" s="4">
        <f t="shared" si="21"/>
        <v>999</v>
      </c>
      <c r="EO229" s="3" t="str">
        <f>IF(DJ229="","",DAY(DJ229))</f>
        <v/>
      </c>
      <c r="EP229" s="3" t="str">
        <f>IF(DJ229="","",HOUR(DJ229))</f>
        <v/>
      </c>
      <c r="EQ229" s="3" t="str">
        <f>IF(DJ229="","",MINUTE(DJ229))</f>
        <v/>
      </c>
      <c r="ER229" s="3" t="str">
        <f>IF(DJ229="","",SECOND(DJ229))</f>
        <v/>
      </c>
      <c r="ES229" s="4">
        <f>BW229-DJ229</f>
        <v>0</v>
      </c>
      <c r="ET229" s="5">
        <f t="shared" si="20"/>
        <v>0</v>
      </c>
    </row>
    <row r="230" spans="1:150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2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3">
        <f>DAY(DN230)</f>
        <v>0</v>
      </c>
      <c r="EG230" s="3">
        <f>HOUR(DN230)</f>
        <v>0</v>
      </c>
      <c r="EH230" s="3">
        <f>MINUTE(DN230)</f>
        <v>0</v>
      </c>
      <c r="EI230" s="3">
        <f>SECOND(DN230)</f>
        <v>0</v>
      </c>
      <c r="EJ230" s="3" t="str">
        <f>IF(BW230="","",DAY(BW230))</f>
        <v/>
      </c>
      <c r="EK230" s="3" t="str">
        <f>IF(BW230="","",HOUR(BW230))</f>
        <v/>
      </c>
      <c r="EL230" s="3" t="str">
        <f>IF(BW230="","",MINUTE(BW230))</f>
        <v/>
      </c>
      <c r="EM230" s="3" t="str">
        <f>IF(BW230="","",SECOND(BW230))</f>
        <v/>
      </c>
      <c r="EN230" s="4">
        <f t="shared" si="21"/>
        <v>999</v>
      </c>
      <c r="EO230" s="3" t="str">
        <f>IF(DJ230="","",DAY(DJ230))</f>
        <v/>
      </c>
      <c r="EP230" s="3" t="str">
        <f>IF(DJ230="","",HOUR(DJ230))</f>
        <v/>
      </c>
      <c r="EQ230" s="3" t="str">
        <f>IF(DJ230="","",MINUTE(DJ230))</f>
        <v/>
      </c>
      <c r="ER230" s="3" t="str">
        <f>IF(DJ230="","",SECOND(DJ230))</f>
        <v/>
      </c>
      <c r="ES230" s="4">
        <f>BW230-DJ230</f>
        <v>0</v>
      </c>
      <c r="ET230" s="5">
        <f t="shared" si="20"/>
        <v>0</v>
      </c>
    </row>
    <row r="231" spans="1:150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2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3">
        <f>DAY(DN231)</f>
        <v>0</v>
      </c>
      <c r="EG231" s="3">
        <f>HOUR(DN231)</f>
        <v>0</v>
      </c>
      <c r="EH231" s="3">
        <f>MINUTE(DN231)</f>
        <v>0</v>
      </c>
      <c r="EI231" s="3">
        <f>SECOND(DN231)</f>
        <v>0</v>
      </c>
      <c r="EJ231" s="3" t="str">
        <f>IF(BW231="","",DAY(BW231))</f>
        <v/>
      </c>
      <c r="EK231" s="3" t="str">
        <f>IF(BW231="","",HOUR(BW231))</f>
        <v/>
      </c>
      <c r="EL231" s="3" t="str">
        <f>IF(BW231="","",MINUTE(BW231))</f>
        <v/>
      </c>
      <c r="EM231" s="3" t="str">
        <f>IF(BW231="","",SECOND(BW231))</f>
        <v/>
      </c>
      <c r="EN231" s="4">
        <f t="shared" si="21"/>
        <v>999</v>
      </c>
      <c r="EO231" s="3" t="str">
        <f>IF(DJ231="","",DAY(DJ231))</f>
        <v/>
      </c>
      <c r="EP231" s="3" t="str">
        <f>IF(DJ231="","",HOUR(DJ231))</f>
        <v/>
      </c>
      <c r="EQ231" s="3" t="str">
        <f>IF(DJ231="","",MINUTE(DJ231))</f>
        <v/>
      </c>
      <c r="ER231" s="3" t="str">
        <f>IF(DJ231="","",SECOND(DJ231))</f>
        <v/>
      </c>
      <c r="ES231" s="4">
        <f>BW231-DJ231</f>
        <v>0</v>
      </c>
      <c r="ET231" s="5">
        <f t="shared" si="20"/>
        <v>0</v>
      </c>
    </row>
    <row r="232" spans="1:150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2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3">
        <f>DAY(DN232)</f>
        <v>0</v>
      </c>
      <c r="EG232" s="3">
        <f>HOUR(DN232)</f>
        <v>0</v>
      </c>
      <c r="EH232" s="3">
        <f>MINUTE(DN232)</f>
        <v>0</v>
      </c>
      <c r="EI232" s="3">
        <f>SECOND(DN232)</f>
        <v>0</v>
      </c>
      <c r="EJ232" s="3" t="str">
        <f>IF(BW232="","",DAY(BW232))</f>
        <v/>
      </c>
      <c r="EK232" s="3" t="str">
        <f>IF(BW232="","",HOUR(BW232))</f>
        <v/>
      </c>
      <c r="EL232" s="3" t="str">
        <f>IF(BW232="","",MINUTE(BW232))</f>
        <v/>
      </c>
      <c r="EM232" s="3" t="str">
        <f>IF(BW232="","",SECOND(BW232))</f>
        <v/>
      </c>
      <c r="EN232" s="4">
        <f t="shared" si="21"/>
        <v>999</v>
      </c>
      <c r="EO232" s="3" t="str">
        <f>IF(DJ232="","",DAY(DJ232))</f>
        <v/>
      </c>
      <c r="EP232" s="3" t="str">
        <f>IF(DJ232="","",HOUR(DJ232))</f>
        <v/>
      </c>
      <c r="EQ232" s="3" t="str">
        <f>IF(DJ232="","",MINUTE(DJ232))</f>
        <v/>
      </c>
      <c r="ER232" s="3" t="str">
        <f>IF(DJ232="","",SECOND(DJ232))</f>
        <v/>
      </c>
      <c r="ES232" s="4">
        <f>BW232-DJ232</f>
        <v>0</v>
      </c>
      <c r="ET232" s="5">
        <f t="shared" si="20"/>
        <v>0</v>
      </c>
    </row>
    <row r="233" spans="1:150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2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3">
        <f>DAY(DN233)</f>
        <v>0</v>
      </c>
      <c r="EG233" s="3">
        <f>HOUR(DN233)</f>
        <v>0</v>
      </c>
      <c r="EH233" s="3">
        <f>MINUTE(DN233)</f>
        <v>0</v>
      </c>
      <c r="EI233" s="3">
        <f>SECOND(DN233)</f>
        <v>0</v>
      </c>
      <c r="EJ233" s="3" t="str">
        <f>IF(BW233="","",DAY(BW233))</f>
        <v/>
      </c>
      <c r="EK233" s="3" t="str">
        <f>IF(BW233="","",HOUR(BW233))</f>
        <v/>
      </c>
      <c r="EL233" s="3" t="str">
        <f>IF(BW233="","",MINUTE(BW233))</f>
        <v/>
      </c>
      <c r="EM233" s="3" t="str">
        <f>IF(BW233="","",SECOND(BW233))</f>
        <v/>
      </c>
      <c r="EN233" s="4">
        <f t="shared" si="21"/>
        <v>999</v>
      </c>
      <c r="EO233" s="3" t="str">
        <f>IF(DJ233="","",DAY(DJ233))</f>
        <v/>
      </c>
      <c r="EP233" s="3" t="str">
        <f>IF(DJ233="","",HOUR(DJ233))</f>
        <v/>
      </c>
      <c r="EQ233" s="3" t="str">
        <f>IF(DJ233="","",MINUTE(DJ233))</f>
        <v/>
      </c>
      <c r="ER233" s="3" t="str">
        <f>IF(DJ233="","",SECOND(DJ233))</f>
        <v/>
      </c>
      <c r="ES233" s="4">
        <f>BW233-DJ233</f>
        <v>0</v>
      </c>
      <c r="ET233" s="5">
        <f t="shared" si="20"/>
        <v>0</v>
      </c>
    </row>
    <row r="234" spans="1:150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2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3">
        <f>DAY(DN234)</f>
        <v>0</v>
      </c>
      <c r="EG234" s="3">
        <f>HOUR(DN234)</f>
        <v>0</v>
      </c>
      <c r="EH234" s="3">
        <f>MINUTE(DN234)</f>
        <v>0</v>
      </c>
      <c r="EI234" s="3">
        <f>SECOND(DN234)</f>
        <v>0</v>
      </c>
      <c r="EJ234" s="3" t="str">
        <f>IF(BW234="","",DAY(BW234))</f>
        <v/>
      </c>
      <c r="EK234" s="3" t="str">
        <f>IF(BW234="","",HOUR(BW234))</f>
        <v/>
      </c>
      <c r="EL234" s="3" t="str">
        <f>IF(BW234="","",MINUTE(BW234))</f>
        <v/>
      </c>
      <c r="EM234" s="3" t="str">
        <f>IF(BW234="","",SECOND(BW234))</f>
        <v/>
      </c>
      <c r="EN234" s="4">
        <f t="shared" si="21"/>
        <v>999</v>
      </c>
      <c r="EO234" s="3" t="str">
        <f>IF(DJ234="","",DAY(DJ234))</f>
        <v/>
      </c>
      <c r="EP234" s="3" t="str">
        <f>IF(DJ234="","",HOUR(DJ234))</f>
        <v/>
      </c>
      <c r="EQ234" s="3" t="str">
        <f>IF(DJ234="","",MINUTE(DJ234))</f>
        <v/>
      </c>
      <c r="ER234" s="3" t="str">
        <f>IF(DJ234="","",SECOND(DJ234))</f>
        <v/>
      </c>
      <c r="ES234" s="4">
        <f>BW234-DJ234</f>
        <v>0</v>
      </c>
      <c r="ET234" s="5">
        <f t="shared" si="20"/>
        <v>0</v>
      </c>
    </row>
    <row r="235" spans="1:150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2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3">
        <f>DAY(DN235)</f>
        <v>0</v>
      </c>
      <c r="EG235" s="3">
        <f>HOUR(DN235)</f>
        <v>0</v>
      </c>
      <c r="EH235" s="3">
        <f>MINUTE(DN235)</f>
        <v>0</v>
      </c>
      <c r="EI235" s="3">
        <f>SECOND(DN235)</f>
        <v>0</v>
      </c>
      <c r="EJ235" s="3" t="str">
        <f>IF(BW235="","",DAY(BW235))</f>
        <v/>
      </c>
      <c r="EK235" s="3" t="str">
        <f>IF(BW235="","",HOUR(BW235))</f>
        <v/>
      </c>
      <c r="EL235" s="3" t="str">
        <f>IF(BW235="","",MINUTE(BW235))</f>
        <v/>
      </c>
      <c r="EM235" s="3" t="str">
        <f>IF(BW235="","",SECOND(BW235))</f>
        <v/>
      </c>
      <c r="EN235" s="4">
        <f t="shared" si="21"/>
        <v>999</v>
      </c>
      <c r="EO235" s="3" t="str">
        <f>IF(DJ235="","",DAY(DJ235))</f>
        <v/>
      </c>
      <c r="EP235" s="3" t="str">
        <f>IF(DJ235="","",HOUR(DJ235))</f>
        <v/>
      </c>
      <c r="EQ235" s="3" t="str">
        <f>IF(DJ235="","",MINUTE(DJ235))</f>
        <v/>
      </c>
      <c r="ER235" s="3" t="str">
        <f>IF(DJ235="","",SECOND(DJ235))</f>
        <v/>
      </c>
      <c r="ES235" s="4">
        <f>BW235-DJ235</f>
        <v>0</v>
      </c>
      <c r="ET235" s="5">
        <f t="shared" si="20"/>
        <v>0</v>
      </c>
    </row>
    <row r="236" spans="1:150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2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3">
        <f>DAY(DN236)</f>
        <v>0</v>
      </c>
      <c r="EG236" s="3">
        <f>HOUR(DN236)</f>
        <v>0</v>
      </c>
      <c r="EH236" s="3">
        <f>MINUTE(DN236)</f>
        <v>0</v>
      </c>
      <c r="EI236" s="3">
        <f>SECOND(DN236)</f>
        <v>0</v>
      </c>
      <c r="EJ236" s="3" t="str">
        <f>IF(BW236="","",DAY(BW236))</f>
        <v/>
      </c>
      <c r="EK236" s="3" t="str">
        <f>IF(BW236="","",HOUR(BW236))</f>
        <v/>
      </c>
      <c r="EL236" s="3" t="str">
        <f>IF(BW236="","",MINUTE(BW236))</f>
        <v/>
      </c>
      <c r="EM236" s="3" t="str">
        <f>IF(BW236="","",SECOND(BW236))</f>
        <v/>
      </c>
      <c r="EN236" s="4">
        <f t="shared" si="21"/>
        <v>999</v>
      </c>
      <c r="EO236" s="3" t="str">
        <f>IF(DJ236="","",DAY(DJ236))</f>
        <v/>
      </c>
      <c r="EP236" s="3" t="str">
        <f>IF(DJ236="","",HOUR(DJ236))</f>
        <v/>
      </c>
      <c r="EQ236" s="3" t="str">
        <f>IF(DJ236="","",MINUTE(DJ236))</f>
        <v/>
      </c>
      <c r="ER236" s="3" t="str">
        <f>IF(DJ236="","",SECOND(DJ236))</f>
        <v/>
      </c>
      <c r="ES236" s="4">
        <f>BW236-DJ236</f>
        <v>0</v>
      </c>
      <c r="ET236" s="5">
        <f t="shared" si="20"/>
        <v>0</v>
      </c>
    </row>
    <row r="237" spans="1:150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2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3">
        <f>DAY(DN237)</f>
        <v>0</v>
      </c>
      <c r="EG237" s="3">
        <f>HOUR(DN237)</f>
        <v>0</v>
      </c>
      <c r="EH237" s="3">
        <f>MINUTE(DN237)</f>
        <v>0</v>
      </c>
      <c r="EI237" s="3">
        <f>SECOND(DN237)</f>
        <v>0</v>
      </c>
      <c r="EJ237" s="3" t="str">
        <f>IF(BW237="","",DAY(BW237))</f>
        <v/>
      </c>
      <c r="EK237" s="3" t="str">
        <f>IF(BW237="","",HOUR(BW237))</f>
        <v/>
      </c>
      <c r="EL237" s="3" t="str">
        <f>IF(BW237="","",MINUTE(BW237))</f>
        <v/>
      </c>
      <c r="EM237" s="3" t="str">
        <f>IF(BW237="","",SECOND(BW237))</f>
        <v/>
      </c>
      <c r="EN237" s="4">
        <f t="shared" si="21"/>
        <v>999</v>
      </c>
      <c r="EO237" s="3" t="str">
        <f>IF(DJ237="","",DAY(DJ237))</f>
        <v/>
      </c>
      <c r="EP237" s="3" t="str">
        <f>IF(DJ237="","",HOUR(DJ237))</f>
        <v/>
      </c>
      <c r="EQ237" s="3" t="str">
        <f>IF(DJ237="","",MINUTE(DJ237))</f>
        <v/>
      </c>
      <c r="ER237" s="3" t="str">
        <f>IF(DJ237="","",SECOND(DJ237))</f>
        <v/>
      </c>
      <c r="ES237" s="4">
        <f>BW237-DJ237</f>
        <v>0</v>
      </c>
      <c r="ET237" s="5">
        <f t="shared" si="20"/>
        <v>0</v>
      </c>
    </row>
    <row r="238" spans="1:150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2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3">
        <f>DAY(DN238)</f>
        <v>0</v>
      </c>
      <c r="EG238" s="3">
        <f>HOUR(DN238)</f>
        <v>0</v>
      </c>
      <c r="EH238" s="3">
        <f>MINUTE(DN238)</f>
        <v>0</v>
      </c>
      <c r="EI238" s="3">
        <f>SECOND(DN238)</f>
        <v>0</v>
      </c>
      <c r="EJ238" s="3" t="str">
        <f>IF(BW238="","",DAY(BW238))</f>
        <v/>
      </c>
      <c r="EK238" s="3" t="str">
        <f>IF(BW238="","",HOUR(BW238))</f>
        <v/>
      </c>
      <c r="EL238" s="3" t="str">
        <f>IF(BW238="","",MINUTE(BW238))</f>
        <v/>
      </c>
      <c r="EM238" s="3" t="str">
        <f>IF(BW238="","",SECOND(BW238))</f>
        <v/>
      </c>
      <c r="EN238" s="4">
        <f t="shared" si="21"/>
        <v>999</v>
      </c>
      <c r="EO238" s="3" t="str">
        <f>IF(DJ238="","",DAY(DJ238))</f>
        <v/>
      </c>
      <c r="EP238" s="3" t="str">
        <f>IF(DJ238="","",HOUR(DJ238))</f>
        <v/>
      </c>
      <c r="EQ238" s="3" t="str">
        <f>IF(DJ238="","",MINUTE(DJ238))</f>
        <v/>
      </c>
      <c r="ER238" s="3" t="str">
        <f>IF(DJ238="","",SECOND(DJ238))</f>
        <v/>
      </c>
      <c r="ES238" s="4">
        <f>BW238-DJ238</f>
        <v>0</v>
      </c>
      <c r="ET238" s="5">
        <f t="shared" si="20"/>
        <v>0</v>
      </c>
    </row>
    <row r="239" spans="1:150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2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3">
        <f>DAY(DN239)</f>
        <v>0</v>
      </c>
      <c r="EG239" s="3">
        <f>HOUR(DN239)</f>
        <v>0</v>
      </c>
      <c r="EH239" s="3">
        <f>MINUTE(DN239)</f>
        <v>0</v>
      </c>
      <c r="EI239" s="3">
        <f>SECOND(DN239)</f>
        <v>0</v>
      </c>
      <c r="EJ239" s="3" t="str">
        <f>IF(BW239="","",DAY(BW239))</f>
        <v/>
      </c>
      <c r="EK239" s="3" t="str">
        <f>IF(BW239="","",HOUR(BW239))</f>
        <v/>
      </c>
      <c r="EL239" s="3" t="str">
        <f>IF(BW239="","",MINUTE(BW239))</f>
        <v/>
      </c>
      <c r="EM239" s="3" t="str">
        <f>IF(BW239="","",SECOND(BW239))</f>
        <v/>
      </c>
      <c r="EN239" s="4">
        <f t="shared" si="21"/>
        <v>999</v>
      </c>
      <c r="EO239" s="3" t="str">
        <f>IF(DJ239="","",DAY(DJ239))</f>
        <v/>
      </c>
      <c r="EP239" s="3" t="str">
        <f>IF(DJ239="","",HOUR(DJ239))</f>
        <v/>
      </c>
      <c r="EQ239" s="3" t="str">
        <f>IF(DJ239="","",MINUTE(DJ239))</f>
        <v/>
      </c>
      <c r="ER239" s="3" t="str">
        <f>IF(DJ239="","",SECOND(DJ239))</f>
        <v/>
      </c>
      <c r="ES239" s="4">
        <f>BW239-DJ239</f>
        <v>0</v>
      </c>
      <c r="ET239" s="5">
        <f t="shared" si="20"/>
        <v>0</v>
      </c>
    </row>
    <row r="240" spans="1:150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2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3">
        <f>DAY(DN240)</f>
        <v>0</v>
      </c>
      <c r="EG240" s="3">
        <f>HOUR(DN240)</f>
        <v>0</v>
      </c>
      <c r="EH240" s="3">
        <f>MINUTE(DN240)</f>
        <v>0</v>
      </c>
      <c r="EI240" s="3">
        <f>SECOND(DN240)</f>
        <v>0</v>
      </c>
      <c r="EJ240" s="3" t="str">
        <f>IF(BW240="","",DAY(BW240))</f>
        <v/>
      </c>
      <c r="EK240" s="3" t="str">
        <f>IF(BW240="","",HOUR(BW240))</f>
        <v/>
      </c>
      <c r="EL240" s="3" t="str">
        <f>IF(BW240="","",MINUTE(BW240))</f>
        <v/>
      </c>
      <c r="EM240" s="3" t="str">
        <f>IF(BW240="","",SECOND(BW240))</f>
        <v/>
      </c>
      <c r="EN240" s="4">
        <f t="shared" si="21"/>
        <v>999</v>
      </c>
      <c r="EO240" s="3" t="str">
        <f>IF(DJ240="","",DAY(DJ240))</f>
        <v/>
      </c>
      <c r="EP240" s="3" t="str">
        <f>IF(DJ240="","",HOUR(DJ240))</f>
        <v/>
      </c>
      <c r="EQ240" s="3" t="str">
        <f>IF(DJ240="","",MINUTE(DJ240))</f>
        <v/>
      </c>
      <c r="ER240" s="3" t="str">
        <f>IF(DJ240="","",SECOND(DJ240))</f>
        <v/>
      </c>
      <c r="ES240" s="4">
        <f>BW240-DJ240</f>
        <v>0</v>
      </c>
      <c r="ET240" s="5">
        <f t="shared" si="20"/>
        <v>0</v>
      </c>
    </row>
    <row r="241" spans="1:150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2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3">
        <f>DAY(DN241)</f>
        <v>0</v>
      </c>
      <c r="EG241" s="3">
        <f>HOUR(DN241)</f>
        <v>0</v>
      </c>
      <c r="EH241" s="3">
        <f>MINUTE(DN241)</f>
        <v>0</v>
      </c>
      <c r="EI241" s="3">
        <f>SECOND(DN241)</f>
        <v>0</v>
      </c>
      <c r="EJ241" s="3" t="str">
        <f>IF(BW241="","",DAY(BW241))</f>
        <v/>
      </c>
      <c r="EK241" s="3" t="str">
        <f>IF(BW241="","",HOUR(BW241))</f>
        <v/>
      </c>
      <c r="EL241" s="3" t="str">
        <f>IF(BW241="","",MINUTE(BW241))</f>
        <v/>
      </c>
      <c r="EM241" s="3" t="str">
        <f>IF(BW241="","",SECOND(BW241))</f>
        <v/>
      </c>
      <c r="EN241" s="4">
        <f t="shared" si="21"/>
        <v>999</v>
      </c>
      <c r="EO241" s="3" t="str">
        <f>IF(DJ241="","",DAY(DJ241))</f>
        <v/>
      </c>
      <c r="EP241" s="3" t="str">
        <f>IF(DJ241="","",HOUR(DJ241))</f>
        <v/>
      </c>
      <c r="EQ241" s="3" t="str">
        <f>IF(DJ241="","",MINUTE(DJ241))</f>
        <v/>
      </c>
      <c r="ER241" s="3" t="str">
        <f>IF(DJ241="","",SECOND(DJ241))</f>
        <v/>
      </c>
      <c r="ES241" s="4">
        <f>BW241-DJ241</f>
        <v>0</v>
      </c>
      <c r="ET241" s="5">
        <f t="shared" si="20"/>
        <v>0</v>
      </c>
    </row>
    <row r="242" spans="1:150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2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3">
        <f>DAY(DN242)</f>
        <v>0</v>
      </c>
      <c r="EG242" s="3">
        <f>HOUR(DN242)</f>
        <v>0</v>
      </c>
      <c r="EH242" s="3">
        <f>MINUTE(DN242)</f>
        <v>0</v>
      </c>
      <c r="EI242" s="3">
        <f>SECOND(DN242)</f>
        <v>0</v>
      </c>
      <c r="EJ242" s="3" t="str">
        <f>IF(BW242="","",DAY(BW242))</f>
        <v/>
      </c>
      <c r="EK242" s="3" t="str">
        <f>IF(BW242="","",HOUR(BW242))</f>
        <v/>
      </c>
      <c r="EL242" s="3" t="str">
        <f>IF(BW242="","",MINUTE(BW242))</f>
        <v/>
      </c>
      <c r="EM242" s="3" t="str">
        <f>IF(BW242="","",SECOND(BW242))</f>
        <v/>
      </c>
      <c r="EN242" s="4">
        <f t="shared" si="21"/>
        <v>999</v>
      </c>
      <c r="EO242" s="3" t="str">
        <f>IF(DJ242="","",DAY(DJ242))</f>
        <v/>
      </c>
      <c r="EP242" s="3" t="str">
        <f>IF(DJ242="","",HOUR(DJ242))</f>
        <v/>
      </c>
      <c r="EQ242" s="3" t="str">
        <f>IF(DJ242="","",MINUTE(DJ242))</f>
        <v/>
      </c>
      <c r="ER242" s="3" t="str">
        <f>IF(DJ242="","",SECOND(DJ242))</f>
        <v/>
      </c>
      <c r="ES242" s="4">
        <f>BW242-DJ242</f>
        <v>0</v>
      </c>
      <c r="ET242" s="5">
        <f t="shared" si="20"/>
        <v>0</v>
      </c>
    </row>
    <row r="243" spans="1:150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2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3">
        <f>DAY(DN243)</f>
        <v>0</v>
      </c>
      <c r="EG243" s="3">
        <f>HOUR(DN243)</f>
        <v>0</v>
      </c>
      <c r="EH243" s="3">
        <f>MINUTE(DN243)</f>
        <v>0</v>
      </c>
      <c r="EI243" s="3">
        <f>SECOND(DN243)</f>
        <v>0</v>
      </c>
      <c r="EJ243" s="3" t="str">
        <f>IF(BW243="","",DAY(BW243))</f>
        <v/>
      </c>
      <c r="EK243" s="3" t="str">
        <f>IF(BW243="","",HOUR(BW243))</f>
        <v/>
      </c>
      <c r="EL243" s="3" t="str">
        <f>IF(BW243="","",MINUTE(BW243))</f>
        <v/>
      </c>
      <c r="EM243" s="3" t="str">
        <f>IF(BW243="","",SECOND(BW243))</f>
        <v/>
      </c>
      <c r="EN243" s="4">
        <f t="shared" si="21"/>
        <v>999</v>
      </c>
      <c r="EO243" s="3" t="str">
        <f>IF(DJ243="","",DAY(DJ243))</f>
        <v/>
      </c>
      <c r="EP243" s="3" t="str">
        <f>IF(DJ243="","",HOUR(DJ243))</f>
        <v/>
      </c>
      <c r="EQ243" s="3" t="str">
        <f>IF(DJ243="","",MINUTE(DJ243))</f>
        <v/>
      </c>
      <c r="ER243" s="3" t="str">
        <f>IF(DJ243="","",SECOND(DJ243))</f>
        <v/>
      </c>
      <c r="ES243" s="4">
        <f>BW243-DJ243</f>
        <v>0</v>
      </c>
      <c r="ET243" s="5">
        <f t="shared" si="20"/>
        <v>0</v>
      </c>
    </row>
    <row r="244" spans="1:150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2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3">
        <f>DAY(DN244)</f>
        <v>0</v>
      </c>
      <c r="EG244" s="3">
        <f>HOUR(DN244)</f>
        <v>0</v>
      </c>
      <c r="EH244" s="3">
        <f>MINUTE(DN244)</f>
        <v>0</v>
      </c>
      <c r="EI244" s="3">
        <f>SECOND(DN244)</f>
        <v>0</v>
      </c>
      <c r="EJ244" s="3" t="str">
        <f>IF(BW244="","",DAY(BW244))</f>
        <v/>
      </c>
      <c r="EK244" s="3" t="str">
        <f>IF(BW244="","",HOUR(BW244))</f>
        <v/>
      </c>
      <c r="EL244" s="3" t="str">
        <f>IF(BW244="","",MINUTE(BW244))</f>
        <v/>
      </c>
      <c r="EM244" s="3" t="str">
        <f>IF(BW244="","",SECOND(BW244))</f>
        <v/>
      </c>
      <c r="EN244" s="4">
        <f t="shared" si="21"/>
        <v>999</v>
      </c>
      <c r="EO244" s="3" t="str">
        <f>IF(DJ244="","",DAY(DJ244))</f>
        <v/>
      </c>
      <c r="EP244" s="3" t="str">
        <f>IF(DJ244="","",HOUR(DJ244))</f>
        <v/>
      </c>
      <c r="EQ244" s="3" t="str">
        <f>IF(DJ244="","",MINUTE(DJ244))</f>
        <v/>
      </c>
      <c r="ER244" s="3" t="str">
        <f>IF(DJ244="","",SECOND(DJ244))</f>
        <v/>
      </c>
      <c r="ES244" s="4">
        <f>BW244-DJ244</f>
        <v>0</v>
      </c>
      <c r="ET244" s="5">
        <f t="shared" si="20"/>
        <v>0</v>
      </c>
    </row>
    <row r="245" spans="1:150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2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3">
        <f>DAY(DN245)</f>
        <v>0</v>
      </c>
      <c r="EG245" s="3">
        <f>HOUR(DN245)</f>
        <v>0</v>
      </c>
      <c r="EH245" s="3">
        <f>MINUTE(DN245)</f>
        <v>0</v>
      </c>
      <c r="EI245" s="3">
        <f>SECOND(DN245)</f>
        <v>0</v>
      </c>
      <c r="EJ245" s="3" t="str">
        <f>IF(BW245="","",DAY(BW245))</f>
        <v/>
      </c>
      <c r="EK245" s="3" t="str">
        <f>IF(BW245="","",HOUR(BW245))</f>
        <v/>
      </c>
      <c r="EL245" s="3" t="str">
        <f>IF(BW245="","",MINUTE(BW245))</f>
        <v/>
      </c>
      <c r="EM245" s="3" t="str">
        <f>IF(BW245="","",SECOND(BW245))</f>
        <v/>
      </c>
      <c r="EN245" s="4">
        <f t="shared" si="21"/>
        <v>999</v>
      </c>
      <c r="EO245" s="3" t="str">
        <f>IF(DJ245="","",DAY(DJ245))</f>
        <v/>
      </c>
      <c r="EP245" s="3" t="str">
        <f>IF(DJ245="","",HOUR(DJ245))</f>
        <v/>
      </c>
      <c r="EQ245" s="3" t="str">
        <f>IF(DJ245="","",MINUTE(DJ245))</f>
        <v/>
      </c>
      <c r="ER245" s="3" t="str">
        <f>IF(DJ245="","",SECOND(DJ245))</f>
        <v/>
      </c>
      <c r="ES245" s="4">
        <f>BW245-DJ245</f>
        <v>0</v>
      </c>
      <c r="ET245" s="5">
        <f t="shared" si="20"/>
        <v>0</v>
      </c>
    </row>
    <row r="246" spans="1:150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2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3">
        <f>DAY(DN246)</f>
        <v>0</v>
      </c>
      <c r="EG246" s="3">
        <f>HOUR(DN246)</f>
        <v>0</v>
      </c>
      <c r="EH246" s="3">
        <f>MINUTE(DN246)</f>
        <v>0</v>
      </c>
      <c r="EI246" s="3">
        <f>SECOND(DN246)</f>
        <v>0</v>
      </c>
      <c r="EJ246" s="3" t="str">
        <f>IF(BW246="","",DAY(BW246))</f>
        <v/>
      </c>
      <c r="EK246" s="3" t="str">
        <f>IF(BW246="","",HOUR(BW246))</f>
        <v/>
      </c>
      <c r="EL246" s="3" t="str">
        <f>IF(BW246="","",MINUTE(BW246))</f>
        <v/>
      </c>
      <c r="EM246" s="3" t="str">
        <f>IF(BW246="","",SECOND(BW246))</f>
        <v/>
      </c>
      <c r="EN246" s="4">
        <f t="shared" si="21"/>
        <v>999</v>
      </c>
      <c r="EO246" s="3" t="str">
        <f>IF(DJ246="","",DAY(DJ246))</f>
        <v/>
      </c>
      <c r="EP246" s="3" t="str">
        <f>IF(DJ246="","",HOUR(DJ246))</f>
        <v/>
      </c>
      <c r="EQ246" s="3" t="str">
        <f>IF(DJ246="","",MINUTE(DJ246))</f>
        <v/>
      </c>
      <c r="ER246" s="3" t="str">
        <f>IF(DJ246="","",SECOND(DJ246))</f>
        <v/>
      </c>
      <c r="ES246" s="4">
        <f>BW246-DJ246</f>
        <v>0</v>
      </c>
      <c r="ET246" s="5">
        <f t="shared" si="20"/>
        <v>0</v>
      </c>
    </row>
    <row r="247" spans="1:150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2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3">
        <f>DAY(DN247)</f>
        <v>0</v>
      </c>
      <c r="EG247" s="3">
        <f>HOUR(DN247)</f>
        <v>0</v>
      </c>
      <c r="EH247" s="3">
        <f>MINUTE(DN247)</f>
        <v>0</v>
      </c>
      <c r="EI247" s="3">
        <f>SECOND(DN247)</f>
        <v>0</v>
      </c>
      <c r="EJ247" s="3" t="str">
        <f>IF(BW247="","",DAY(BW247))</f>
        <v/>
      </c>
      <c r="EK247" s="3" t="str">
        <f>IF(BW247="","",HOUR(BW247))</f>
        <v/>
      </c>
      <c r="EL247" s="3" t="str">
        <f>IF(BW247="","",MINUTE(BW247))</f>
        <v/>
      </c>
      <c r="EM247" s="3" t="str">
        <f>IF(BW247="","",SECOND(BW247))</f>
        <v/>
      </c>
      <c r="EN247" s="4">
        <f t="shared" si="21"/>
        <v>999</v>
      </c>
      <c r="EO247" s="3" t="str">
        <f>IF(DJ247="","",DAY(DJ247))</f>
        <v/>
      </c>
      <c r="EP247" s="3" t="str">
        <f>IF(DJ247="","",HOUR(DJ247))</f>
        <v/>
      </c>
      <c r="EQ247" s="3" t="str">
        <f>IF(DJ247="","",MINUTE(DJ247))</f>
        <v/>
      </c>
      <c r="ER247" s="3" t="str">
        <f>IF(DJ247="","",SECOND(DJ247))</f>
        <v/>
      </c>
      <c r="ES247" s="4">
        <f>BW247-DJ247</f>
        <v>0</v>
      </c>
      <c r="ET247" s="5">
        <f t="shared" si="20"/>
        <v>0</v>
      </c>
    </row>
    <row r="248" spans="1:150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2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3">
        <f>DAY(DN248)</f>
        <v>0</v>
      </c>
      <c r="EG248" s="3">
        <f>HOUR(DN248)</f>
        <v>0</v>
      </c>
      <c r="EH248" s="3">
        <f>MINUTE(DN248)</f>
        <v>0</v>
      </c>
      <c r="EI248" s="3">
        <f>SECOND(DN248)</f>
        <v>0</v>
      </c>
      <c r="EJ248" s="3" t="str">
        <f>IF(BW248="","",DAY(BW248))</f>
        <v/>
      </c>
      <c r="EK248" s="3" t="str">
        <f>IF(BW248="","",HOUR(BW248))</f>
        <v/>
      </c>
      <c r="EL248" s="3" t="str">
        <f>IF(BW248="","",MINUTE(BW248))</f>
        <v/>
      </c>
      <c r="EM248" s="3" t="str">
        <f>IF(BW248="","",SECOND(BW248))</f>
        <v/>
      </c>
      <c r="EN248" s="4">
        <f t="shared" si="21"/>
        <v>999</v>
      </c>
      <c r="EO248" s="3" t="str">
        <f>IF(DJ248="","",DAY(DJ248))</f>
        <v/>
      </c>
      <c r="EP248" s="3" t="str">
        <f>IF(DJ248="","",HOUR(DJ248))</f>
        <v/>
      </c>
      <c r="EQ248" s="3" t="str">
        <f>IF(DJ248="","",MINUTE(DJ248))</f>
        <v/>
      </c>
      <c r="ER248" s="3" t="str">
        <f>IF(DJ248="","",SECOND(DJ248))</f>
        <v/>
      </c>
      <c r="ES248" s="4">
        <f>BW248-DJ248</f>
        <v>0</v>
      </c>
      <c r="ET248" s="5">
        <f t="shared" si="20"/>
        <v>0</v>
      </c>
    </row>
    <row r="249" spans="1:150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2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3">
        <f>DAY(DN249)</f>
        <v>0</v>
      </c>
      <c r="EG249" s="3">
        <f>HOUR(DN249)</f>
        <v>0</v>
      </c>
      <c r="EH249" s="3">
        <f>MINUTE(DN249)</f>
        <v>0</v>
      </c>
      <c r="EI249" s="3">
        <f>SECOND(DN249)</f>
        <v>0</v>
      </c>
      <c r="EJ249" s="3" t="str">
        <f>IF(BW249="","",DAY(BW249))</f>
        <v/>
      </c>
      <c r="EK249" s="3" t="str">
        <f>IF(BW249="","",HOUR(BW249))</f>
        <v/>
      </c>
      <c r="EL249" s="3" t="str">
        <f>IF(BW249="","",MINUTE(BW249))</f>
        <v/>
      </c>
      <c r="EM249" s="3" t="str">
        <f>IF(BW249="","",SECOND(BW249))</f>
        <v/>
      </c>
      <c r="EN249" s="4">
        <f t="shared" si="21"/>
        <v>999</v>
      </c>
      <c r="EO249" s="3" t="str">
        <f>IF(DJ249="","",DAY(DJ249))</f>
        <v/>
      </c>
      <c r="EP249" s="3" t="str">
        <f>IF(DJ249="","",HOUR(DJ249))</f>
        <v/>
      </c>
      <c r="EQ249" s="3" t="str">
        <f>IF(DJ249="","",MINUTE(DJ249))</f>
        <v/>
      </c>
      <c r="ER249" s="3" t="str">
        <f>IF(DJ249="","",SECOND(DJ249))</f>
        <v/>
      </c>
      <c r="ES249" s="4">
        <f>BW249-DJ249</f>
        <v>0</v>
      </c>
      <c r="ET249" s="5">
        <f t="shared" si="20"/>
        <v>0</v>
      </c>
    </row>
    <row r="250" spans="1:150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2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3">
        <f>DAY(DN250)</f>
        <v>0</v>
      </c>
      <c r="EG250" s="3">
        <f>HOUR(DN250)</f>
        <v>0</v>
      </c>
      <c r="EH250" s="3">
        <f>MINUTE(DN250)</f>
        <v>0</v>
      </c>
      <c r="EI250" s="3">
        <f>SECOND(DN250)</f>
        <v>0</v>
      </c>
      <c r="EJ250" s="3" t="str">
        <f>IF(BW250="","",DAY(BW250))</f>
        <v/>
      </c>
      <c r="EK250" s="3" t="str">
        <f>IF(BW250="","",HOUR(BW250))</f>
        <v/>
      </c>
      <c r="EL250" s="3" t="str">
        <f>IF(BW250="","",MINUTE(BW250))</f>
        <v/>
      </c>
      <c r="EM250" s="3" t="str">
        <f>IF(BW250="","",SECOND(BW250))</f>
        <v/>
      </c>
      <c r="EN250" s="4">
        <f t="shared" si="21"/>
        <v>999</v>
      </c>
      <c r="EO250" s="3" t="str">
        <f>IF(DJ250="","",DAY(DJ250))</f>
        <v/>
      </c>
      <c r="EP250" s="3" t="str">
        <f>IF(DJ250="","",HOUR(DJ250))</f>
        <v/>
      </c>
      <c r="EQ250" s="3" t="str">
        <f>IF(DJ250="","",MINUTE(DJ250))</f>
        <v/>
      </c>
      <c r="ER250" s="3" t="str">
        <f>IF(DJ250="","",SECOND(DJ250))</f>
        <v/>
      </c>
      <c r="ES250" s="4">
        <f>BW250-DJ250</f>
        <v>0</v>
      </c>
      <c r="ET250" s="5">
        <f t="shared" si="20"/>
        <v>0</v>
      </c>
    </row>
    <row r="251" spans="1:150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2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3">
        <f>DAY(DN251)</f>
        <v>0</v>
      </c>
      <c r="EG251" s="3">
        <f>HOUR(DN251)</f>
        <v>0</v>
      </c>
      <c r="EH251" s="3">
        <f>MINUTE(DN251)</f>
        <v>0</v>
      </c>
      <c r="EI251" s="3">
        <f>SECOND(DN251)</f>
        <v>0</v>
      </c>
      <c r="EJ251" s="3" t="str">
        <f>IF(BW251="","",DAY(BW251))</f>
        <v/>
      </c>
      <c r="EK251" s="3" t="str">
        <f>IF(BW251="","",HOUR(BW251))</f>
        <v/>
      </c>
      <c r="EL251" s="3" t="str">
        <f>IF(BW251="","",MINUTE(BW251))</f>
        <v/>
      </c>
      <c r="EM251" s="3" t="str">
        <f>IF(BW251="","",SECOND(BW251))</f>
        <v/>
      </c>
      <c r="EN251" s="4">
        <f t="shared" si="21"/>
        <v>999</v>
      </c>
      <c r="EO251" s="3" t="str">
        <f>IF(DJ251="","",DAY(DJ251))</f>
        <v/>
      </c>
      <c r="EP251" s="3" t="str">
        <f>IF(DJ251="","",HOUR(DJ251))</f>
        <v/>
      </c>
      <c r="EQ251" s="3" t="str">
        <f>IF(DJ251="","",MINUTE(DJ251))</f>
        <v/>
      </c>
      <c r="ER251" s="3" t="str">
        <f>IF(DJ251="","",SECOND(DJ251))</f>
        <v/>
      </c>
      <c r="ES251" s="4">
        <f>BW251-DJ251</f>
        <v>0</v>
      </c>
      <c r="ET251" s="5">
        <f t="shared" si="20"/>
        <v>0</v>
      </c>
    </row>
    <row r="252" spans="1:150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2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3">
        <f>DAY(DN252)</f>
        <v>0</v>
      </c>
      <c r="EG252" s="3">
        <f>HOUR(DN252)</f>
        <v>0</v>
      </c>
      <c r="EH252" s="3">
        <f>MINUTE(DN252)</f>
        <v>0</v>
      </c>
      <c r="EI252" s="3">
        <f>SECOND(DN252)</f>
        <v>0</v>
      </c>
      <c r="EJ252" s="3" t="str">
        <f>IF(BW252="","",DAY(BW252))</f>
        <v/>
      </c>
      <c r="EK252" s="3" t="str">
        <f>IF(BW252="","",HOUR(BW252))</f>
        <v/>
      </c>
      <c r="EL252" s="3" t="str">
        <f>IF(BW252="","",MINUTE(BW252))</f>
        <v/>
      </c>
      <c r="EM252" s="3" t="str">
        <f>IF(BW252="","",SECOND(BW252))</f>
        <v/>
      </c>
      <c r="EN252" s="4">
        <f t="shared" si="21"/>
        <v>999</v>
      </c>
      <c r="EO252" s="3" t="str">
        <f>IF(DJ252="","",DAY(DJ252))</f>
        <v/>
      </c>
      <c r="EP252" s="3" t="str">
        <f>IF(DJ252="","",HOUR(DJ252))</f>
        <v/>
      </c>
      <c r="EQ252" s="3" t="str">
        <f>IF(DJ252="","",MINUTE(DJ252))</f>
        <v/>
      </c>
      <c r="ER252" s="3" t="str">
        <f>IF(DJ252="","",SECOND(DJ252))</f>
        <v/>
      </c>
      <c r="ES252" s="4">
        <f>BW252-DJ252</f>
        <v>0</v>
      </c>
      <c r="ET252" s="5">
        <f t="shared" si="20"/>
        <v>0</v>
      </c>
    </row>
    <row r="253" spans="1:150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2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3">
        <f>DAY(DN253)</f>
        <v>0</v>
      </c>
      <c r="EG253" s="3">
        <f>HOUR(DN253)</f>
        <v>0</v>
      </c>
      <c r="EH253" s="3">
        <f>MINUTE(DN253)</f>
        <v>0</v>
      </c>
      <c r="EI253" s="3">
        <f>SECOND(DN253)</f>
        <v>0</v>
      </c>
      <c r="EJ253" s="3" t="str">
        <f>IF(BW253="","",DAY(BW253))</f>
        <v/>
      </c>
      <c r="EK253" s="3" t="str">
        <f>IF(BW253="","",HOUR(BW253))</f>
        <v/>
      </c>
      <c r="EL253" s="3" t="str">
        <f>IF(BW253="","",MINUTE(BW253))</f>
        <v/>
      </c>
      <c r="EM253" s="3" t="str">
        <f>IF(BW253="","",SECOND(BW253))</f>
        <v/>
      </c>
      <c r="EN253" s="4">
        <f t="shared" si="21"/>
        <v>999</v>
      </c>
      <c r="EO253" s="3" t="str">
        <f>IF(DJ253="","",DAY(DJ253))</f>
        <v/>
      </c>
      <c r="EP253" s="3" t="str">
        <f>IF(DJ253="","",HOUR(DJ253))</f>
        <v/>
      </c>
      <c r="EQ253" s="3" t="str">
        <f>IF(DJ253="","",MINUTE(DJ253))</f>
        <v/>
      </c>
      <c r="ER253" s="3" t="str">
        <f>IF(DJ253="","",SECOND(DJ253))</f>
        <v/>
      </c>
      <c r="ES253" s="4">
        <f>BW253-DJ253</f>
        <v>0</v>
      </c>
      <c r="ET253" s="5">
        <f t="shared" si="20"/>
        <v>0</v>
      </c>
    </row>
    <row r="254" spans="1:150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2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3">
        <f>DAY(DN254)</f>
        <v>0</v>
      </c>
      <c r="EG254" s="3">
        <f>HOUR(DN254)</f>
        <v>0</v>
      </c>
      <c r="EH254" s="3">
        <f>MINUTE(DN254)</f>
        <v>0</v>
      </c>
      <c r="EI254" s="3">
        <f>SECOND(DN254)</f>
        <v>0</v>
      </c>
      <c r="EJ254" s="3" t="str">
        <f>IF(BW254="","",DAY(BW254))</f>
        <v/>
      </c>
      <c r="EK254" s="3" t="str">
        <f>IF(BW254="","",HOUR(BW254))</f>
        <v/>
      </c>
      <c r="EL254" s="3" t="str">
        <f>IF(BW254="","",MINUTE(BW254))</f>
        <v/>
      </c>
      <c r="EM254" s="3" t="str">
        <f>IF(BW254="","",SECOND(BW254))</f>
        <v/>
      </c>
      <c r="EN254" s="4">
        <f t="shared" si="21"/>
        <v>999</v>
      </c>
      <c r="EO254" s="3" t="str">
        <f>IF(DJ254="","",DAY(DJ254))</f>
        <v/>
      </c>
      <c r="EP254" s="3" t="str">
        <f>IF(DJ254="","",HOUR(DJ254))</f>
        <v/>
      </c>
      <c r="EQ254" s="3" t="str">
        <f>IF(DJ254="","",MINUTE(DJ254))</f>
        <v/>
      </c>
      <c r="ER254" s="3" t="str">
        <f>IF(DJ254="","",SECOND(DJ254))</f>
        <v/>
      </c>
      <c r="ES254" s="4">
        <f>BW254-DJ254</f>
        <v>0</v>
      </c>
      <c r="ET254" s="5">
        <f t="shared" si="20"/>
        <v>0</v>
      </c>
    </row>
    <row r="255" spans="1:150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2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3">
        <f>DAY(DN255)</f>
        <v>0</v>
      </c>
      <c r="EG255" s="3">
        <f>HOUR(DN255)</f>
        <v>0</v>
      </c>
      <c r="EH255" s="3">
        <f>MINUTE(DN255)</f>
        <v>0</v>
      </c>
      <c r="EI255" s="3">
        <f>SECOND(DN255)</f>
        <v>0</v>
      </c>
      <c r="EJ255" s="3" t="str">
        <f>IF(BW255="","",DAY(BW255))</f>
        <v/>
      </c>
      <c r="EK255" s="3" t="str">
        <f>IF(BW255="","",HOUR(BW255))</f>
        <v/>
      </c>
      <c r="EL255" s="3" t="str">
        <f>IF(BW255="","",MINUTE(BW255))</f>
        <v/>
      </c>
      <c r="EM255" s="3" t="str">
        <f>IF(BW255="","",SECOND(BW255))</f>
        <v/>
      </c>
      <c r="EN255" s="4">
        <f t="shared" si="21"/>
        <v>999</v>
      </c>
      <c r="EO255" s="3" t="str">
        <f>IF(DJ255="","",DAY(DJ255))</f>
        <v/>
      </c>
      <c r="EP255" s="3" t="str">
        <f>IF(DJ255="","",HOUR(DJ255))</f>
        <v/>
      </c>
      <c r="EQ255" s="3" t="str">
        <f>IF(DJ255="","",MINUTE(DJ255))</f>
        <v/>
      </c>
      <c r="ER255" s="3" t="str">
        <f>IF(DJ255="","",SECOND(DJ255))</f>
        <v/>
      </c>
      <c r="ES255" s="4">
        <f>BW255-DJ255</f>
        <v>0</v>
      </c>
      <c r="ET255" s="5">
        <f t="shared" si="20"/>
        <v>0</v>
      </c>
    </row>
    <row r="256" spans="1:150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2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3">
        <f>DAY(DN256)</f>
        <v>0</v>
      </c>
      <c r="EG256" s="3">
        <f>HOUR(DN256)</f>
        <v>0</v>
      </c>
      <c r="EH256" s="3">
        <f>MINUTE(DN256)</f>
        <v>0</v>
      </c>
      <c r="EI256" s="3">
        <f>SECOND(DN256)</f>
        <v>0</v>
      </c>
      <c r="EJ256" s="3" t="str">
        <f>IF(BW256="","",DAY(BW256))</f>
        <v/>
      </c>
      <c r="EK256" s="3" t="str">
        <f>IF(BW256="","",HOUR(BW256))</f>
        <v/>
      </c>
      <c r="EL256" s="3" t="str">
        <f>IF(BW256="","",MINUTE(BW256))</f>
        <v/>
      </c>
      <c r="EM256" s="3" t="str">
        <f>IF(BW256="","",SECOND(BW256))</f>
        <v/>
      </c>
      <c r="EN256" s="4">
        <f t="shared" si="21"/>
        <v>999</v>
      </c>
      <c r="EO256" s="3" t="str">
        <f>IF(DJ256="","",DAY(DJ256))</f>
        <v/>
      </c>
      <c r="EP256" s="3" t="str">
        <f>IF(DJ256="","",HOUR(DJ256))</f>
        <v/>
      </c>
      <c r="EQ256" s="3" t="str">
        <f>IF(DJ256="","",MINUTE(DJ256))</f>
        <v/>
      </c>
      <c r="ER256" s="3" t="str">
        <f>IF(DJ256="","",SECOND(DJ256))</f>
        <v/>
      </c>
      <c r="ES256" s="4">
        <f>BW256-DJ256</f>
        <v>0</v>
      </c>
      <c r="ET256" s="5">
        <f t="shared" si="20"/>
        <v>0</v>
      </c>
    </row>
    <row r="257" spans="1:150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2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3">
        <f>DAY(DN257)</f>
        <v>0</v>
      </c>
      <c r="EG257" s="3">
        <f>HOUR(DN257)</f>
        <v>0</v>
      </c>
      <c r="EH257" s="3">
        <f>MINUTE(DN257)</f>
        <v>0</v>
      </c>
      <c r="EI257" s="3">
        <f>SECOND(DN257)</f>
        <v>0</v>
      </c>
      <c r="EJ257" s="3" t="str">
        <f>IF(BW257="","",DAY(BW257))</f>
        <v/>
      </c>
      <c r="EK257" s="3" t="str">
        <f>IF(BW257="","",HOUR(BW257))</f>
        <v/>
      </c>
      <c r="EL257" s="3" t="str">
        <f>IF(BW257="","",MINUTE(BW257))</f>
        <v/>
      </c>
      <c r="EM257" s="3" t="str">
        <f>IF(BW257="","",SECOND(BW257))</f>
        <v/>
      </c>
      <c r="EN257" s="4">
        <f t="shared" si="21"/>
        <v>999</v>
      </c>
      <c r="EO257" s="3" t="str">
        <f>IF(DJ257="","",DAY(DJ257))</f>
        <v/>
      </c>
      <c r="EP257" s="3" t="str">
        <f>IF(DJ257="","",HOUR(DJ257))</f>
        <v/>
      </c>
      <c r="EQ257" s="3" t="str">
        <f>IF(DJ257="","",MINUTE(DJ257))</f>
        <v/>
      </c>
      <c r="ER257" s="3" t="str">
        <f>IF(DJ257="","",SECOND(DJ257))</f>
        <v/>
      </c>
      <c r="ES257" s="4">
        <f>BW257-DJ257</f>
        <v>0</v>
      </c>
      <c r="ET257" s="5">
        <f t="shared" si="20"/>
        <v>0</v>
      </c>
    </row>
    <row r="258" spans="1:150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2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3">
        <f>DAY(DN258)</f>
        <v>0</v>
      </c>
      <c r="EG258" s="3">
        <f>HOUR(DN258)</f>
        <v>0</v>
      </c>
      <c r="EH258" s="3">
        <f>MINUTE(DN258)</f>
        <v>0</v>
      </c>
      <c r="EI258" s="3">
        <f>SECOND(DN258)</f>
        <v>0</v>
      </c>
      <c r="EJ258" s="3" t="str">
        <f>IF(BW258="","",DAY(BW258))</f>
        <v/>
      </c>
      <c r="EK258" s="3" t="str">
        <f>IF(BW258="","",HOUR(BW258))</f>
        <v/>
      </c>
      <c r="EL258" s="3" t="str">
        <f>IF(BW258="","",MINUTE(BW258))</f>
        <v/>
      </c>
      <c r="EM258" s="3" t="str">
        <f>IF(BW258="","",SECOND(BW258))</f>
        <v/>
      </c>
      <c r="EN258" s="4">
        <f t="shared" si="21"/>
        <v>999</v>
      </c>
      <c r="EO258" s="3" t="str">
        <f>IF(DJ258="","",DAY(DJ258))</f>
        <v/>
      </c>
      <c r="EP258" s="3" t="str">
        <f>IF(DJ258="","",HOUR(DJ258))</f>
        <v/>
      </c>
      <c r="EQ258" s="3" t="str">
        <f>IF(DJ258="","",MINUTE(DJ258))</f>
        <v/>
      </c>
      <c r="ER258" s="3" t="str">
        <f>IF(DJ258="","",SECOND(DJ258))</f>
        <v/>
      </c>
      <c r="ES258" s="4">
        <f>BW258-DJ258</f>
        <v>0</v>
      </c>
      <c r="ET258" s="5">
        <f t="shared" ref="ET258:ET307" si="22">ROUND(ES258*60*60*24/60,1)</f>
        <v>0</v>
      </c>
    </row>
    <row r="259" spans="1:150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2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3">
        <f>DAY(DN259)</f>
        <v>0</v>
      </c>
      <c r="EG259" s="3">
        <f>HOUR(DN259)</f>
        <v>0</v>
      </c>
      <c r="EH259" s="3">
        <f>MINUTE(DN259)</f>
        <v>0</v>
      </c>
      <c r="EI259" s="3">
        <f>SECOND(DN259)</f>
        <v>0</v>
      </c>
      <c r="EJ259" s="3" t="str">
        <f>IF(BW259="","",DAY(BW259))</f>
        <v/>
      </c>
      <c r="EK259" s="3" t="str">
        <f>IF(BW259="","",HOUR(BW259))</f>
        <v/>
      </c>
      <c r="EL259" s="3" t="str">
        <f>IF(BW259="","",MINUTE(BW259))</f>
        <v/>
      </c>
      <c r="EM259" s="3" t="str">
        <f>IF(BW259="","",SECOND(BW259))</f>
        <v/>
      </c>
      <c r="EN259" s="4">
        <f t="shared" si="21"/>
        <v>999</v>
      </c>
      <c r="EO259" s="3" t="str">
        <f>IF(DJ259="","",DAY(DJ259))</f>
        <v/>
      </c>
      <c r="EP259" s="3" t="str">
        <f>IF(DJ259="","",HOUR(DJ259))</f>
        <v/>
      </c>
      <c r="EQ259" s="3" t="str">
        <f>IF(DJ259="","",MINUTE(DJ259))</f>
        <v/>
      </c>
      <c r="ER259" s="3" t="str">
        <f>IF(DJ259="","",SECOND(DJ259))</f>
        <v/>
      </c>
      <c r="ES259" s="4">
        <f>BW259-DJ259</f>
        <v>0</v>
      </c>
      <c r="ET259" s="5">
        <f t="shared" si="22"/>
        <v>0</v>
      </c>
    </row>
    <row r="260" spans="1:150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2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3">
        <f>DAY(DN260)</f>
        <v>0</v>
      </c>
      <c r="EG260" s="3">
        <f>HOUR(DN260)</f>
        <v>0</v>
      </c>
      <c r="EH260" s="3">
        <f>MINUTE(DN260)</f>
        <v>0</v>
      </c>
      <c r="EI260" s="3">
        <f>SECOND(DN260)</f>
        <v>0</v>
      </c>
      <c r="EJ260" s="3" t="str">
        <f>IF(BW260="","",DAY(BW260))</f>
        <v/>
      </c>
      <c r="EK260" s="3" t="str">
        <f>IF(BW260="","",HOUR(BW260))</f>
        <v/>
      </c>
      <c r="EL260" s="3" t="str">
        <f>IF(BW260="","",MINUTE(BW260))</f>
        <v/>
      </c>
      <c r="EM260" s="3" t="str">
        <f>IF(BW260="","",SECOND(BW260))</f>
        <v/>
      </c>
      <c r="EN260" s="4">
        <f t="shared" si="21"/>
        <v>999</v>
      </c>
      <c r="EO260" s="3" t="str">
        <f>IF(DJ260="","",DAY(DJ260))</f>
        <v/>
      </c>
      <c r="EP260" s="3" t="str">
        <f>IF(DJ260="","",HOUR(DJ260))</f>
        <v/>
      </c>
      <c r="EQ260" s="3" t="str">
        <f>IF(DJ260="","",MINUTE(DJ260))</f>
        <v/>
      </c>
      <c r="ER260" s="3" t="str">
        <f>IF(DJ260="","",SECOND(DJ260))</f>
        <v/>
      </c>
      <c r="ES260" s="4">
        <f>BW260-DJ260</f>
        <v>0</v>
      </c>
      <c r="ET260" s="5">
        <f t="shared" si="22"/>
        <v>0</v>
      </c>
    </row>
    <row r="261" spans="1:150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2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3">
        <f>DAY(DN261)</f>
        <v>0</v>
      </c>
      <c r="EG261" s="3">
        <f>HOUR(DN261)</f>
        <v>0</v>
      </c>
      <c r="EH261" s="3">
        <f>MINUTE(DN261)</f>
        <v>0</v>
      </c>
      <c r="EI261" s="3">
        <f>SECOND(DN261)</f>
        <v>0</v>
      </c>
      <c r="EJ261" s="3" t="str">
        <f>IF(BW261="","",DAY(BW261))</f>
        <v/>
      </c>
      <c r="EK261" s="3" t="str">
        <f>IF(BW261="","",HOUR(BW261))</f>
        <v/>
      </c>
      <c r="EL261" s="3" t="str">
        <f>IF(BW261="","",MINUTE(BW261))</f>
        <v/>
      </c>
      <c r="EM261" s="3" t="str">
        <f>IF(BW261="","",SECOND(BW261))</f>
        <v/>
      </c>
      <c r="EN261" s="4">
        <f t="shared" si="21"/>
        <v>999</v>
      </c>
      <c r="EO261" s="3" t="str">
        <f>IF(DJ261="","",DAY(DJ261))</f>
        <v/>
      </c>
      <c r="EP261" s="3" t="str">
        <f>IF(DJ261="","",HOUR(DJ261))</f>
        <v/>
      </c>
      <c r="EQ261" s="3" t="str">
        <f>IF(DJ261="","",MINUTE(DJ261))</f>
        <v/>
      </c>
      <c r="ER261" s="3" t="str">
        <f>IF(DJ261="","",SECOND(DJ261))</f>
        <v/>
      </c>
      <c r="ES261" s="4">
        <f>BW261-DJ261</f>
        <v>0</v>
      </c>
      <c r="ET261" s="5">
        <f t="shared" si="22"/>
        <v>0</v>
      </c>
    </row>
    <row r="262" spans="1:150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2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3">
        <f>DAY(DN262)</f>
        <v>0</v>
      </c>
      <c r="EG262" s="3">
        <f>HOUR(DN262)</f>
        <v>0</v>
      </c>
      <c r="EH262" s="3">
        <f>MINUTE(DN262)</f>
        <v>0</v>
      </c>
      <c r="EI262" s="3">
        <f>SECOND(DN262)</f>
        <v>0</v>
      </c>
      <c r="EJ262" s="3" t="str">
        <f>IF(BW262="","",DAY(BW262))</f>
        <v/>
      </c>
      <c r="EK262" s="3" t="str">
        <f>IF(BW262="","",HOUR(BW262))</f>
        <v/>
      </c>
      <c r="EL262" s="3" t="str">
        <f>IF(BW262="","",MINUTE(BW262))</f>
        <v/>
      </c>
      <c r="EM262" s="3" t="str">
        <f>IF(BW262="","",SECOND(BW262))</f>
        <v/>
      </c>
      <c r="EN262" s="4">
        <f t="shared" si="21"/>
        <v>999</v>
      </c>
      <c r="EO262" s="3" t="str">
        <f>IF(DJ262="","",DAY(DJ262))</f>
        <v/>
      </c>
      <c r="EP262" s="3" t="str">
        <f>IF(DJ262="","",HOUR(DJ262))</f>
        <v/>
      </c>
      <c r="EQ262" s="3" t="str">
        <f>IF(DJ262="","",MINUTE(DJ262))</f>
        <v/>
      </c>
      <c r="ER262" s="3" t="str">
        <f>IF(DJ262="","",SECOND(DJ262))</f>
        <v/>
      </c>
      <c r="ES262" s="4">
        <f>BW262-DJ262</f>
        <v>0</v>
      </c>
      <c r="ET262" s="5">
        <f t="shared" si="22"/>
        <v>0</v>
      </c>
    </row>
    <row r="263" spans="1:150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2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3">
        <f>DAY(DN263)</f>
        <v>0</v>
      </c>
      <c r="EG263" s="3">
        <f>HOUR(DN263)</f>
        <v>0</v>
      </c>
      <c r="EH263" s="3">
        <f>MINUTE(DN263)</f>
        <v>0</v>
      </c>
      <c r="EI263" s="3">
        <f>SECOND(DN263)</f>
        <v>0</v>
      </c>
      <c r="EJ263" s="3" t="str">
        <f>IF(BW263="","",DAY(BW263))</f>
        <v/>
      </c>
      <c r="EK263" s="3" t="str">
        <f>IF(BW263="","",HOUR(BW263))</f>
        <v/>
      </c>
      <c r="EL263" s="3" t="str">
        <f>IF(BW263="","",MINUTE(BW263))</f>
        <v/>
      </c>
      <c r="EM263" s="3" t="str">
        <f>IF(BW263="","",SECOND(BW263))</f>
        <v/>
      </c>
      <c r="EN263" s="4">
        <f t="shared" si="21"/>
        <v>999</v>
      </c>
      <c r="EO263" s="3" t="str">
        <f>IF(DJ263="","",DAY(DJ263))</f>
        <v/>
      </c>
      <c r="EP263" s="3" t="str">
        <f>IF(DJ263="","",HOUR(DJ263))</f>
        <v/>
      </c>
      <c r="EQ263" s="3" t="str">
        <f>IF(DJ263="","",MINUTE(DJ263))</f>
        <v/>
      </c>
      <c r="ER263" s="3" t="str">
        <f>IF(DJ263="","",SECOND(DJ263))</f>
        <v/>
      </c>
      <c r="ES263" s="4">
        <f>BW263-DJ263</f>
        <v>0</v>
      </c>
      <c r="ET263" s="5">
        <f t="shared" si="22"/>
        <v>0</v>
      </c>
    </row>
    <row r="264" spans="1:150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2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3">
        <f>DAY(DN264)</f>
        <v>0</v>
      </c>
      <c r="EG264" s="3">
        <f>HOUR(DN264)</f>
        <v>0</v>
      </c>
      <c r="EH264" s="3">
        <f>MINUTE(DN264)</f>
        <v>0</v>
      </c>
      <c r="EI264" s="3">
        <f>SECOND(DN264)</f>
        <v>0</v>
      </c>
      <c r="EJ264" s="3" t="str">
        <f>IF(BW264="","",DAY(BW264))</f>
        <v/>
      </c>
      <c r="EK264" s="3" t="str">
        <f>IF(BW264="","",HOUR(BW264))</f>
        <v/>
      </c>
      <c r="EL264" s="3" t="str">
        <f>IF(BW264="","",MINUTE(BW264))</f>
        <v/>
      </c>
      <c r="EM264" s="3" t="str">
        <f>IF(BW264="","",SECOND(BW264))</f>
        <v/>
      </c>
      <c r="EN264" s="4">
        <f t="shared" si="21"/>
        <v>999</v>
      </c>
      <c r="EO264" s="3" t="str">
        <f>IF(DJ264="","",DAY(DJ264))</f>
        <v/>
      </c>
      <c r="EP264" s="3" t="str">
        <f>IF(DJ264="","",HOUR(DJ264))</f>
        <v/>
      </c>
      <c r="EQ264" s="3" t="str">
        <f>IF(DJ264="","",MINUTE(DJ264))</f>
        <v/>
      </c>
      <c r="ER264" s="3" t="str">
        <f>IF(DJ264="","",SECOND(DJ264))</f>
        <v/>
      </c>
      <c r="ES264" s="4">
        <f>BW264-DJ264</f>
        <v>0</v>
      </c>
      <c r="ET264" s="5">
        <f t="shared" si="22"/>
        <v>0</v>
      </c>
    </row>
    <row r="265" spans="1:150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2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3">
        <f>DAY(DN265)</f>
        <v>0</v>
      </c>
      <c r="EG265" s="3">
        <f>HOUR(DN265)</f>
        <v>0</v>
      </c>
      <c r="EH265" s="3">
        <f>MINUTE(DN265)</f>
        <v>0</v>
      </c>
      <c r="EI265" s="3">
        <f>SECOND(DN265)</f>
        <v>0</v>
      </c>
      <c r="EJ265" s="3" t="str">
        <f>IF(BW265="","",DAY(BW265))</f>
        <v/>
      </c>
      <c r="EK265" s="3" t="str">
        <f>IF(BW265="","",HOUR(BW265))</f>
        <v/>
      </c>
      <c r="EL265" s="3" t="str">
        <f>IF(BW265="","",MINUTE(BW265))</f>
        <v/>
      </c>
      <c r="EM265" s="3" t="str">
        <f>IF(BW265="","",SECOND(BW265))</f>
        <v/>
      </c>
      <c r="EN265" s="4">
        <f t="shared" si="21"/>
        <v>999</v>
      </c>
      <c r="EO265" s="3" t="str">
        <f>IF(DJ265="","",DAY(DJ265))</f>
        <v/>
      </c>
      <c r="EP265" s="3" t="str">
        <f>IF(DJ265="","",HOUR(DJ265))</f>
        <v/>
      </c>
      <c r="EQ265" s="3" t="str">
        <f>IF(DJ265="","",MINUTE(DJ265))</f>
        <v/>
      </c>
      <c r="ER265" s="3" t="str">
        <f>IF(DJ265="","",SECOND(DJ265))</f>
        <v/>
      </c>
      <c r="ES265" s="4">
        <f>BW265-DJ265</f>
        <v>0</v>
      </c>
      <c r="ET265" s="5">
        <f t="shared" si="22"/>
        <v>0</v>
      </c>
    </row>
    <row r="266" spans="1:150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2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3">
        <f>DAY(DN266)</f>
        <v>0</v>
      </c>
      <c r="EG266" s="3">
        <f>HOUR(DN266)</f>
        <v>0</v>
      </c>
      <c r="EH266" s="3">
        <f>MINUTE(DN266)</f>
        <v>0</v>
      </c>
      <c r="EI266" s="3">
        <f>SECOND(DN266)</f>
        <v>0</v>
      </c>
      <c r="EJ266" s="3" t="str">
        <f>IF(BW266="","",DAY(BW266))</f>
        <v/>
      </c>
      <c r="EK266" s="3" t="str">
        <f>IF(BW266="","",HOUR(BW266))</f>
        <v/>
      </c>
      <c r="EL266" s="3" t="str">
        <f>IF(BW266="","",MINUTE(BW266))</f>
        <v/>
      </c>
      <c r="EM266" s="3" t="str">
        <f>IF(BW266="","",SECOND(BW266))</f>
        <v/>
      </c>
      <c r="EN266" s="4">
        <f t="shared" si="21"/>
        <v>999</v>
      </c>
      <c r="EO266" s="3" t="str">
        <f>IF(DJ266="","",DAY(DJ266))</f>
        <v/>
      </c>
      <c r="EP266" s="3" t="str">
        <f>IF(DJ266="","",HOUR(DJ266))</f>
        <v/>
      </c>
      <c r="EQ266" s="3" t="str">
        <f>IF(DJ266="","",MINUTE(DJ266))</f>
        <v/>
      </c>
      <c r="ER266" s="3" t="str">
        <f>IF(DJ266="","",SECOND(DJ266))</f>
        <v/>
      </c>
      <c r="ES266" s="4">
        <f>BW266-DJ266</f>
        <v>0</v>
      </c>
      <c r="ET266" s="5">
        <f t="shared" si="22"/>
        <v>0</v>
      </c>
    </row>
    <row r="267" spans="1:150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2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3">
        <f>DAY(DN267)</f>
        <v>0</v>
      </c>
      <c r="EG267" s="3">
        <f>HOUR(DN267)</f>
        <v>0</v>
      </c>
      <c r="EH267" s="3">
        <f>MINUTE(DN267)</f>
        <v>0</v>
      </c>
      <c r="EI267" s="3">
        <f>SECOND(DN267)</f>
        <v>0</v>
      </c>
      <c r="EJ267" s="3" t="str">
        <f>IF(BW267="","",DAY(BW267))</f>
        <v/>
      </c>
      <c r="EK267" s="3" t="str">
        <f>IF(BW267="","",HOUR(BW267))</f>
        <v/>
      </c>
      <c r="EL267" s="3" t="str">
        <f>IF(BW267="","",MINUTE(BW267))</f>
        <v/>
      </c>
      <c r="EM267" s="3" t="str">
        <f>IF(BW267="","",SECOND(BW267))</f>
        <v/>
      </c>
      <c r="EN267" s="4">
        <f t="shared" si="21"/>
        <v>999</v>
      </c>
      <c r="EO267" s="3" t="str">
        <f>IF(DJ267="","",DAY(DJ267))</f>
        <v/>
      </c>
      <c r="EP267" s="3" t="str">
        <f>IF(DJ267="","",HOUR(DJ267))</f>
        <v/>
      </c>
      <c r="EQ267" s="3" t="str">
        <f>IF(DJ267="","",MINUTE(DJ267))</f>
        <v/>
      </c>
      <c r="ER267" s="3" t="str">
        <f>IF(DJ267="","",SECOND(DJ267))</f>
        <v/>
      </c>
      <c r="ES267" s="4">
        <f>BW267-DJ267</f>
        <v>0</v>
      </c>
      <c r="ET267" s="5">
        <f t="shared" si="22"/>
        <v>0</v>
      </c>
    </row>
    <row r="268" spans="1:150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2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3">
        <f>DAY(DN268)</f>
        <v>0</v>
      </c>
      <c r="EG268" s="3">
        <f>HOUR(DN268)</f>
        <v>0</v>
      </c>
      <c r="EH268" s="3">
        <f>MINUTE(DN268)</f>
        <v>0</v>
      </c>
      <c r="EI268" s="3">
        <f>SECOND(DN268)</f>
        <v>0</v>
      </c>
      <c r="EJ268" s="3" t="str">
        <f>IF(BW268="","",DAY(BW268))</f>
        <v/>
      </c>
      <c r="EK268" s="3" t="str">
        <f>IF(BW268="","",HOUR(BW268))</f>
        <v/>
      </c>
      <c r="EL268" s="3" t="str">
        <f>IF(BW268="","",MINUTE(BW268))</f>
        <v/>
      </c>
      <c r="EM268" s="3" t="str">
        <f>IF(BW268="","",SECOND(BW268))</f>
        <v/>
      </c>
      <c r="EN268" s="4">
        <f t="shared" si="21"/>
        <v>999</v>
      </c>
      <c r="EO268" s="3" t="str">
        <f>IF(DJ268="","",DAY(DJ268))</f>
        <v/>
      </c>
      <c r="EP268" s="3" t="str">
        <f>IF(DJ268="","",HOUR(DJ268))</f>
        <v/>
      </c>
      <c r="EQ268" s="3" t="str">
        <f>IF(DJ268="","",MINUTE(DJ268))</f>
        <v/>
      </c>
      <c r="ER268" s="3" t="str">
        <f>IF(DJ268="","",SECOND(DJ268))</f>
        <v/>
      </c>
      <c r="ES268" s="4">
        <f>BW268-DJ268</f>
        <v>0</v>
      </c>
      <c r="ET268" s="5">
        <f t="shared" si="22"/>
        <v>0</v>
      </c>
    </row>
    <row r="269" spans="1:150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2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3">
        <f>DAY(DN269)</f>
        <v>0</v>
      </c>
      <c r="EG269" s="3">
        <f>HOUR(DN269)</f>
        <v>0</v>
      </c>
      <c r="EH269" s="3">
        <f>MINUTE(DN269)</f>
        <v>0</v>
      </c>
      <c r="EI269" s="3">
        <f>SECOND(DN269)</f>
        <v>0</v>
      </c>
      <c r="EJ269" s="3" t="str">
        <f>IF(BW269="","",DAY(BW269))</f>
        <v/>
      </c>
      <c r="EK269" s="3" t="str">
        <f>IF(BW269="","",HOUR(BW269))</f>
        <v/>
      </c>
      <c r="EL269" s="3" t="str">
        <f>IF(BW269="","",MINUTE(BW269))</f>
        <v/>
      </c>
      <c r="EM269" s="3" t="str">
        <f>IF(BW269="","",SECOND(BW269))</f>
        <v/>
      </c>
      <c r="EN269" s="4">
        <f t="shared" ref="EN269:EN307" si="23">IF(EF269=EJ269,ROUND(((EK269-EG269)*60*60+(EL269-EH269)*60+EM269-EI269)/600,0),999)</f>
        <v>999</v>
      </c>
      <c r="EO269" s="3" t="str">
        <f t="shared" ref="EO269:EO307" si="24">IF(DJ269="","",DAY(DJ269))</f>
        <v/>
      </c>
      <c r="EP269" s="3" t="str">
        <f t="shared" ref="EP269:EP307" si="25">IF(DJ269="","",HOUR(DJ269))</f>
        <v/>
      </c>
      <c r="EQ269" s="3" t="str">
        <f t="shared" ref="EQ269:EQ307" si="26">IF(DJ269="","",MINUTE(DJ269))</f>
        <v/>
      </c>
      <c r="ER269" s="3" t="str">
        <f t="shared" ref="ER269:ER307" si="27">IF(DJ269="","",SECOND(DJ269))</f>
        <v/>
      </c>
      <c r="ES269" s="4">
        <f t="shared" ref="ES269:ES307" si="28">BW269-DJ269</f>
        <v>0</v>
      </c>
      <c r="ET269" s="5">
        <f t="shared" si="22"/>
        <v>0</v>
      </c>
    </row>
    <row r="270" spans="1:150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2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3">
        <f>DAY(DN270)</f>
        <v>0</v>
      </c>
      <c r="EG270" s="3">
        <f>HOUR(DN270)</f>
        <v>0</v>
      </c>
      <c r="EH270" s="3">
        <f>MINUTE(DN270)</f>
        <v>0</v>
      </c>
      <c r="EI270" s="3">
        <f>SECOND(DN270)</f>
        <v>0</v>
      </c>
      <c r="EJ270" s="3" t="str">
        <f>IF(BW270="","",DAY(BW270))</f>
        <v/>
      </c>
      <c r="EK270" s="3" t="str">
        <f>IF(BW270="","",HOUR(BW270))</f>
        <v/>
      </c>
      <c r="EL270" s="3" t="str">
        <f>IF(BW270="","",MINUTE(BW270))</f>
        <v/>
      </c>
      <c r="EM270" s="3" t="str">
        <f>IF(BW270="","",SECOND(BW270))</f>
        <v/>
      </c>
      <c r="EN270" s="4">
        <f t="shared" si="23"/>
        <v>999</v>
      </c>
      <c r="EO270" s="3" t="str">
        <f t="shared" si="24"/>
        <v/>
      </c>
      <c r="EP270" s="3" t="str">
        <f t="shared" si="25"/>
        <v/>
      </c>
      <c r="EQ270" s="3" t="str">
        <f t="shared" si="26"/>
        <v/>
      </c>
      <c r="ER270" s="3" t="str">
        <f t="shared" si="27"/>
        <v/>
      </c>
      <c r="ES270" s="4">
        <f t="shared" si="28"/>
        <v>0</v>
      </c>
      <c r="ET270" s="5">
        <f t="shared" si="22"/>
        <v>0</v>
      </c>
    </row>
    <row r="271" spans="1:150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2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3">
        <f>DAY(DN271)</f>
        <v>0</v>
      </c>
      <c r="EG271" s="3">
        <f>HOUR(DN271)</f>
        <v>0</v>
      </c>
      <c r="EH271" s="3">
        <f>MINUTE(DN271)</f>
        <v>0</v>
      </c>
      <c r="EI271" s="3">
        <f>SECOND(DN271)</f>
        <v>0</v>
      </c>
      <c r="EJ271" s="3" t="str">
        <f>IF(BW271="","",DAY(BW271))</f>
        <v/>
      </c>
      <c r="EK271" s="3" t="str">
        <f>IF(BW271="","",HOUR(BW271))</f>
        <v/>
      </c>
      <c r="EL271" s="3" t="str">
        <f>IF(BW271="","",MINUTE(BW271))</f>
        <v/>
      </c>
      <c r="EM271" s="3" t="str">
        <f>IF(BW271="","",SECOND(BW271))</f>
        <v/>
      </c>
      <c r="EN271" s="4">
        <f t="shared" si="23"/>
        <v>999</v>
      </c>
      <c r="EO271" s="3" t="str">
        <f t="shared" si="24"/>
        <v/>
      </c>
      <c r="EP271" s="3" t="str">
        <f t="shared" si="25"/>
        <v/>
      </c>
      <c r="EQ271" s="3" t="str">
        <f t="shared" si="26"/>
        <v/>
      </c>
      <c r="ER271" s="3" t="str">
        <f t="shared" si="27"/>
        <v/>
      </c>
      <c r="ES271" s="4">
        <f t="shared" si="28"/>
        <v>0</v>
      </c>
      <c r="ET271" s="5">
        <f t="shared" si="22"/>
        <v>0</v>
      </c>
    </row>
    <row r="272" spans="1:150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2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3">
        <f>DAY(DN272)</f>
        <v>0</v>
      </c>
      <c r="EG272" s="3">
        <f>HOUR(DN272)</f>
        <v>0</v>
      </c>
      <c r="EH272" s="3">
        <f>MINUTE(DN272)</f>
        <v>0</v>
      </c>
      <c r="EI272" s="3">
        <f>SECOND(DN272)</f>
        <v>0</v>
      </c>
      <c r="EJ272" s="3" t="str">
        <f>IF(BW272="","",DAY(BW272))</f>
        <v/>
      </c>
      <c r="EK272" s="3" t="str">
        <f>IF(BW272="","",HOUR(BW272))</f>
        <v/>
      </c>
      <c r="EL272" s="3" t="str">
        <f>IF(BW272="","",MINUTE(BW272))</f>
        <v/>
      </c>
      <c r="EM272" s="3" t="str">
        <f>IF(BW272="","",SECOND(BW272))</f>
        <v/>
      </c>
      <c r="EN272" s="4">
        <f t="shared" si="23"/>
        <v>999</v>
      </c>
      <c r="EO272" s="3" t="str">
        <f t="shared" si="24"/>
        <v/>
      </c>
      <c r="EP272" s="3" t="str">
        <f t="shared" si="25"/>
        <v/>
      </c>
      <c r="EQ272" s="3" t="str">
        <f t="shared" si="26"/>
        <v/>
      </c>
      <c r="ER272" s="3" t="str">
        <f t="shared" si="27"/>
        <v/>
      </c>
      <c r="ES272" s="4">
        <f t="shared" si="28"/>
        <v>0</v>
      </c>
      <c r="ET272" s="5">
        <f t="shared" si="22"/>
        <v>0</v>
      </c>
    </row>
    <row r="273" spans="1:150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2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3">
        <f>DAY(DN273)</f>
        <v>0</v>
      </c>
      <c r="EG273" s="3">
        <f>HOUR(DN273)</f>
        <v>0</v>
      </c>
      <c r="EH273" s="3">
        <f>MINUTE(DN273)</f>
        <v>0</v>
      </c>
      <c r="EI273" s="3">
        <f>SECOND(DN273)</f>
        <v>0</v>
      </c>
      <c r="EJ273" s="3" t="str">
        <f>IF(BW273="","",DAY(BW273))</f>
        <v/>
      </c>
      <c r="EK273" s="3" t="str">
        <f>IF(BW273="","",HOUR(BW273))</f>
        <v/>
      </c>
      <c r="EL273" s="3" t="str">
        <f>IF(BW273="","",MINUTE(BW273))</f>
        <v/>
      </c>
      <c r="EM273" s="3" t="str">
        <f>IF(BW273="","",SECOND(BW273))</f>
        <v/>
      </c>
      <c r="EN273" s="4">
        <f t="shared" si="23"/>
        <v>999</v>
      </c>
      <c r="EO273" s="3" t="str">
        <f t="shared" si="24"/>
        <v/>
      </c>
      <c r="EP273" s="3" t="str">
        <f t="shared" si="25"/>
        <v/>
      </c>
      <c r="EQ273" s="3" t="str">
        <f t="shared" si="26"/>
        <v/>
      </c>
      <c r="ER273" s="3" t="str">
        <f t="shared" si="27"/>
        <v/>
      </c>
      <c r="ES273" s="4">
        <f t="shared" si="28"/>
        <v>0</v>
      </c>
      <c r="ET273" s="5">
        <f t="shared" si="22"/>
        <v>0</v>
      </c>
    </row>
    <row r="274" spans="1:150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2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3">
        <f>DAY(DN274)</f>
        <v>0</v>
      </c>
      <c r="EG274" s="3">
        <f>HOUR(DN274)</f>
        <v>0</v>
      </c>
      <c r="EH274" s="3">
        <f>MINUTE(DN274)</f>
        <v>0</v>
      </c>
      <c r="EI274" s="3">
        <f>SECOND(DN274)</f>
        <v>0</v>
      </c>
      <c r="EJ274" s="3" t="str">
        <f>IF(BW274="","",DAY(BW274))</f>
        <v/>
      </c>
      <c r="EK274" s="3" t="str">
        <f>IF(BW274="","",HOUR(BW274))</f>
        <v/>
      </c>
      <c r="EL274" s="3" t="str">
        <f>IF(BW274="","",MINUTE(BW274))</f>
        <v/>
      </c>
      <c r="EM274" s="3" t="str">
        <f>IF(BW274="","",SECOND(BW274))</f>
        <v/>
      </c>
      <c r="EN274" s="4">
        <f t="shared" si="23"/>
        <v>999</v>
      </c>
      <c r="EO274" s="3" t="str">
        <f t="shared" si="24"/>
        <v/>
      </c>
      <c r="EP274" s="3" t="str">
        <f t="shared" si="25"/>
        <v/>
      </c>
      <c r="EQ274" s="3" t="str">
        <f t="shared" si="26"/>
        <v/>
      </c>
      <c r="ER274" s="3" t="str">
        <f t="shared" si="27"/>
        <v/>
      </c>
      <c r="ES274" s="4">
        <f t="shared" si="28"/>
        <v>0</v>
      </c>
      <c r="ET274" s="5">
        <f t="shared" si="22"/>
        <v>0</v>
      </c>
    </row>
    <row r="275" spans="1:150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2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3">
        <f>DAY(DN275)</f>
        <v>0</v>
      </c>
      <c r="EG275" s="3">
        <f>HOUR(DN275)</f>
        <v>0</v>
      </c>
      <c r="EH275" s="3">
        <f>MINUTE(DN275)</f>
        <v>0</v>
      </c>
      <c r="EI275" s="3">
        <f>SECOND(DN275)</f>
        <v>0</v>
      </c>
      <c r="EJ275" s="3" t="str">
        <f>IF(BW275="","",DAY(BW275))</f>
        <v/>
      </c>
      <c r="EK275" s="3" t="str">
        <f>IF(BW275="","",HOUR(BW275))</f>
        <v/>
      </c>
      <c r="EL275" s="3" t="str">
        <f>IF(BW275="","",MINUTE(BW275))</f>
        <v/>
      </c>
      <c r="EM275" s="3" t="str">
        <f>IF(BW275="","",SECOND(BW275))</f>
        <v/>
      </c>
      <c r="EN275" s="4">
        <f t="shared" si="23"/>
        <v>999</v>
      </c>
      <c r="EO275" s="3" t="str">
        <f t="shared" si="24"/>
        <v/>
      </c>
      <c r="EP275" s="3" t="str">
        <f t="shared" si="25"/>
        <v/>
      </c>
      <c r="EQ275" s="3" t="str">
        <f t="shared" si="26"/>
        <v/>
      </c>
      <c r="ER275" s="3" t="str">
        <f t="shared" si="27"/>
        <v/>
      </c>
      <c r="ES275" s="4">
        <f t="shared" si="28"/>
        <v>0</v>
      </c>
      <c r="ET275" s="5">
        <f t="shared" si="22"/>
        <v>0</v>
      </c>
    </row>
    <row r="276" spans="1:150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2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3">
        <f>DAY(DN276)</f>
        <v>0</v>
      </c>
      <c r="EG276" s="3">
        <f>HOUR(DN276)</f>
        <v>0</v>
      </c>
      <c r="EH276" s="3">
        <f>MINUTE(DN276)</f>
        <v>0</v>
      </c>
      <c r="EI276" s="3">
        <f>SECOND(DN276)</f>
        <v>0</v>
      </c>
      <c r="EJ276" s="3" t="str">
        <f>IF(BW276="","",DAY(BW276))</f>
        <v/>
      </c>
      <c r="EK276" s="3" t="str">
        <f>IF(BW276="","",HOUR(BW276))</f>
        <v/>
      </c>
      <c r="EL276" s="3" t="str">
        <f>IF(BW276="","",MINUTE(BW276))</f>
        <v/>
      </c>
      <c r="EM276" s="3" t="str">
        <f>IF(BW276="","",SECOND(BW276))</f>
        <v/>
      </c>
      <c r="EN276" s="4">
        <f t="shared" si="23"/>
        <v>999</v>
      </c>
      <c r="EO276" s="3" t="str">
        <f t="shared" si="24"/>
        <v/>
      </c>
      <c r="EP276" s="3" t="str">
        <f t="shared" si="25"/>
        <v/>
      </c>
      <c r="EQ276" s="3" t="str">
        <f t="shared" si="26"/>
        <v/>
      </c>
      <c r="ER276" s="3" t="str">
        <f t="shared" si="27"/>
        <v/>
      </c>
      <c r="ES276" s="4">
        <f t="shared" si="28"/>
        <v>0</v>
      </c>
      <c r="ET276" s="5">
        <f t="shared" si="22"/>
        <v>0</v>
      </c>
    </row>
    <row r="277" spans="1:150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2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3">
        <f>DAY(DN277)</f>
        <v>0</v>
      </c>
      <c r="EG277" s="3">
        <f>HOUR(DN277)</f>
        <v>0</v>
      </c>
      <c r="EH277" s="3">
        <f>MINUTE(DN277)</f>
        <v>0</v>
      </c>
      <c r="EI277" s="3">
        <f>SECOND(DN277)</f>
        <v>0</v>
      </c>
      <c r="EJ277" s="3" t="str">
        <f>IF(BW277="","",DAY(BW277))</f>
        <v/>
      </c>
      <c r="EK277" s="3" t="str">
        <f>IF(BW277="","",HOUR(BW277))</f>
        <v/>
      </c>
      <c r="EL277" s="3" t="str">
        <f>IF(BW277="","",MINUTE(BW277))</f>
        <v/>
      </c>
      <c r="EM277" s="3" t="str">
        <f>IF(BW277="","",SECOND(BW277))</f>
        <v/>
      </c>
      <c r="EN277" s="4">
        <f t="shared" si="23"/>
        <v>999</v>
      </c>
      <c r="EO277" s="3" t="str">
        <f t="shared" si="24"/>
        <v/>
      </c>
      <c r="EP277" s="3" t="str">
        <f t="shared" si="25"/>
        <v/>
      </c>
      <c r="EQ277" s="3" t="str">
        <f t="shared" si="26"/>
        <v/>
      </c>
      <c r="ER277" s="3" t="str">
        <f t="shared" si="27"/>
        <v/>
      </c>
      <c r="ES277" s="4">
        <f t="shared" si="28"/>
        <v>0</v>
      </c>
      <c r="ET277" s="5">
        <f t="shared" si="22"/>
        <v>0</v>
      </c>
    </row>
    <row r="278" spans="1:150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2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3">
        <f>DAY(DN278)</f>
        <v>0</v>
      </c>
      <c r="EG278" s="3">
        <f>HOUR(DN278)</f>
        <v>0</v>
      </c>
      <c r="EH278" s="3">
        <f>MINUTE(DN278)</f>
        <v>0</v>
      </c>
      <c r="EI278" s="3">
        <f>SECOND(DN278)</f>
        <v>0</v>
      </c>
      <c r="EJ278" s="3" t="str">
        <f>IF(BW278="","",DAY(BW278))</f>
        <v/>
      </c>
      <c r="EK278" s="3" t="str">
        <f>IF(BW278="","",HOUR(BW278))</f>
        <v/>
      </c>
      <c r="EL278" s="3" t="str">
        <f>IF(BW278="","",MINUTE(BW278))</f>
        <v/>
      </c>
      <c r="EM278" s="3" t="str">
        <f>IF(BW278="","",SECOND(BW278))</f>
        <v/>
      </c>
      <c r="EN278" s="4">
        <f t="shared" si="23"/>
        <v>999</v>
      </c>
      <c r="EO278" s="3" t="str">
        <f t="shared" si="24"/>
        <v/>
      </c>
      <c r="EP278" s="3" t="str">
        <f t="shared" si="25"/>
        <v/>
      </c>
      <c r="EQ278" s="3" t="str">
        <f t="shared" si="26"/>
        <v/>
      </c>
      <c r="ER278" s="3" t="str">
        <f t="shared" si="27"/>
        <v/>
      </c>
      <c r="ES278" s="4">
        <f t="shared" si="28"/>
        <v>0</v>
      </c>
      <c r="ET278" s="5">
        <f t="shared" si="22"/>
        <v>0</v>
      </c>
    </row>
    <row r="279" spans="1:150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2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3">
        <f>DAY(DN279)</f>
        <v>0</v>
      </c>
      <c r="EG279" s="3">
        <f>HOUR(DN279)</f>
        <v>0</v>
      </c>
      <c r="EH279" s="3">
        <f>MINUTE(DN279)</f>
        <v>0</v>
      </c>
      <c r="EI279" s="3">
        <f>SECOND(DN279)</f>
        <v>0</v>
      </c>
      <c r="EJ279" s="3" t="str">
        <f>IF(BW279="","",DAY(BW279))</f>
        <v/>
      </c>
      <c r="EK279" s="3" t="str">
        <f>IF(BW279="","",HOUR(BW279))</f>
        <v/>
      </c>
      <c r="EL279" s="3" t="str">
        <f>IF(BW279="","",MINUTE(BW279))</f>
        <v/>
      </c>
      <c r="EM279" s="3" t="str">
        <f>IF(BW279="","",SECOND(BW279))</f>
        <v/>
      </c>
      <c r="EN279" s="4">
        <f t="shared" si="23"/>
        <v>999</v>
      </c>
      <c r="EO279" s="3" t="str">
        <f t="shared" si="24"/>
        <v/>
      </c>
      <c r="EP279" s="3" t="str">
        <f t="shared" si="25"/>
        <v/>
      </c>
      <c r="EQ279" s="3" t="str">
        <f t="shared" si="26"/>
        <v/>
      </c>
      <c r="ER279" s="3" t="str">
        <f t="shared" si="27"/>
        <v/>
      </c>
      <c r="ES279" s="4">
        <f t="shared" si="28"/>
        <v>0</v>
      </c>
      <c r="ET279" s="5">
        <f t="shared" si="22"/>
        <v>0</v>
      </c>
    </row>
    <row r="280" spans="1:150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2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3">
        <f>DAY(DN280)</f>
        <v>0</v>
      </c>
      <c r="EG280" s="3">
        <f>HOUR(DN280)</f>
        <v>0</v>
      </c>
      <c r="EH280" s="3">
        <f>MINUTE(DN280)</f>
        <v>0</v>
      </c>
      <c r="EI280" s="3">
        <f>SECOND(DN280)</f>
        <v>0</v>
      </c>
      <c r="EJ280" s="3" t="str">
        <f>IF(BW280="","",DAY(BW280))</f>
        <v/>
      </c>
      <c r="EK280" s="3" t="str">
        <f>IF(BW280="","",HOUR(BW280))</f>
        <v/>
      </c>
      <c r="EL280" s="3" t="str">
        <f>IF(BW280="","",MINUTE(BW280))</f>
        <v/>
      </c>
      <c r="EM280" s="3" t="str">
        <f>IF(BW280="","",SECOND(BW280))</f>
        <v/>
      </c>
      <c r="EN280" s="4">
        <f t="shared" si="23"/>
        <v>999</v>
      </c>
      <c r="EO280" s="3" t="str">
        <f t="shared" si="24"/>
        <v/>
      </c>
      <c r="EP280" s="3" t="str">
        <f t="shared" si="25"/>
        <v/>
      </c>
      <c r="EQ280" s="3" t="str">
        <f t="shared" si="26"/>
        <v/>
      </c>
      <c r="ER280" s="3" t="str">
        <f t="shared" si="27"/>
        <v/>
      </c>
      <c r="ES280" s="4">
        <f t="shared" si="28"/>
        <v>0</v>
      </c>
      <c r="ET280" s="5">
        <f t="shared" si="22"/>
        <v>0</v>
      </c>
    </row>
    <row r="281" spans="1:150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2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3">
        <f>DAY(DN281)</f>
        <v>0</v>
      </c>
      <c r="EG281" s="3">
        <f>HOUR(DN281)</f>
        <v>0</v>
      </c>
      <c r="EH281" s="3">
        <f>MINUTE(DN281)</f>
        <v>0</v>
      </c>
      <c r="EI281" s="3">
        <f>SECOND(DN281)</f>
        <v>0</v>
      </c>
      <c r="EJ281" s="3" t="str">
        <f>IF(BW281="","",DAY(BW281))</f>
        <v/>
      </c>
      <c r="EK281" s="3" t="str">
        <f>IF(BW281="","",HOUR(BW281))</f>
        <v/>
      </c>
      <c r="EL281" s="3" t="str">
        <f>IF(BW281="","",MINUTE(BW281))</f>
        <v/>
      </c>
      <c r="EM281" s="3" t="str">
        <f>IF(BW281="","",SECOND(BW281))</f>
        <v/>
      </c>
      <c r="EN281" s="4">
        <f t="shared" si="23"/>
        <v>999</v>
      </c>
      <c r="EO281" s="3" t="str">
        <f t="shared" si="24"/>
        <v/>
      </c>
      <c r="EP281" s="3" t="str">
        <f t="shared" si="25"/>
        <v/>
      </c>
      <c r="EQ281" s="3" t="str">
        <f t="shared" si="26"/>
        <v/>
      </c>
      <c r="ER281" s="3" t="str">
        <f t="shared" si="27"/>
        <v/>
      </c>
      <c r="ES281" s="4">
        <f t="shared" si="28"/>
        <v>0</v>
      </c>
      <c r="ET281" s="5">
        <f t="shared" si="22"/>
        <v>0</v>
      </c>
    </row>
    <row r="282" spans="1:150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2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3">
        <f>DAY(DN282)</f>
        <v>0</v>
      </c>
      <c r="EG282" s="3">
        <f>HOUR(DN282)</f>
        <v>0</v>
      </c>
      <c r="EH282" s="3">
        <f>MINUTE(DN282)</f>
        <v>0</v>
      </c>
      <c r="EI282" s="3">
        <f>SECOND(DN282)</f>
        <v>0</v>
      </c>
      <c r="EJ282" s="3" t="str">
        <f>IF(BW282="","",DAY(BW282))</f>
        <v/>
      </c>
      <c r="EK282" s="3" t="str">
        <f>IF(BW282="","",HOUR(BW282))</f>
        <v/>
      </c>
      <c r="EL282" s="3" t="str">
        <f>IF(BW282="","",MINUTE(BW282))</f>
        <v/>
      </c>
      <c r="EM282" s="3" t="str">
        <f>IF(BW282="","",SECOND(BW282))</f>
        <v/>
      </c>
      <c r="EN282" s="4">
        <f t="shared" si="23"/>
        <v>999</v>
      </c>
      <c r="EO282" s="3" t="str">
        <f t="shared" si="24"/>
        <v/>
      </c>
      <c r="EP282" s="3" t="str">
        <f t="shared" si="25"/>
        <v/>
      </c>
      <c r="EQ282" s="3" t="str">
        <f t="shared" si="26"/>
        <v/>
      </c>
      <c r="ER282" s="3" t="str">
        <f t="shared" si="27"/>
        <v/>
      </c>
      <c r="ES282" s="4">
        <f t="shared" si="28"/>
        <v>0</v>
      </c>
      <c r="ET282" s="5">
        <f t="shared" si="22"/>
        <v>0</v>
      </c>
    </row>
    <row r="283" spans="1:150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2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3">
        <f>DAY(DN283)</f>
        <v>0</v>
      </c>
      <c r="EG283" s="3">
        <f>HOUR(DN283)</f>
        <v>0</v>
      </c>
      <c r="EH283" s="3">
        <f>MINUTE(DN283)</f>
        <v>0</v>
      </c>
      <c r="EI283" s="3">
        <f>SECOND(DN283)</f>
        <v>0</v>
      </c>
      <c r="EJ283" s="3" t="str">
        <f>IF(BW283="","",DAY(BW283))</f>
        <v/>
      </c>
      <c r="EK283" s="3" t="str">
        <f>IF(BW283="","",HOUR(BW283))</f>
        <v/>
      </c>
      <c r="EL283" s="3" t="str">
        <f>IF(BW283="","",MINUTE(BW283))</f>
        <v/>
      </c>
      <c r="EM283" s="3" t="str">
        <f>IF(BW283="","",SECOND(BW283))</f>
        <v/>
      </c>
      <c r="EN283" s="4">
        <f t="shared" si="23"/>
        <v>999</v>
      </c>
      <c r="EO283" s="3" t="str">
        <f t="shared" si="24"/>
        <v/>
      </c>
      <c r="EP283" s="3" t="str">
        <f t="shared" si="25"/>
        <v/>
      </c>
      <c r="EQ283" s="3" t="str">
        <f t="shared" si="26"/>
        <v/>
      </c>
      <c r="ER283" s="3" t="str">
        <f t="shared" si="27"/>
        <v/>
      </c>
      <c r="ES283" s="4">
        <f t="shared" si="28"/>
        <v>0</v>
      </c>
      <c r="ET283" s="5">
        <f t="shared" si="22"/>
        <v>0</v>
      </c>
    </row>
    <row r="284" spans="1:150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2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3">
        <f>DAY(DN284)</f>
        <v>0</v>
      </c>
      <c r="EG284" s="3">
        <f>HOUR(DN284)</f>
        <v>0</v>
      </c>
      <c r="EH284" s="3">
        <f>MINUTE(DN284)</f>
        <v>0</v>
      </c>
      <c r="EI284" s="3">
        <f>SECOND(DN284)</f>
        <v>0</v>
      </c>
      <c r="EJ284" s="3" t="str">
        <f>IF(BW284="","",DAY(BW284))</f>
        <v/>
      </c>
      <c r="EK284" s="3" t="str">
        <f>IF(BW284="","",HOUR(BW284))</f>
        <v/>
      </c>
      <c r="EL284" s="3" t="str">
        <f>IF(BW284="","",MINUTE(BW284))</f>
        <v/>
      </c>
      <c r="EM284" s="3" t="str">
        <f>IF(BW284="","",SECOND(BW284))</f>
        <v/>
      </c>
      <c r="EN284" s="4">
        <f t="shared" si="23"/>
        <v>999</v>
      </c>
      <c r="EO284" s="3" t="str">
        <f t="shared" si="24"/>
        <v/>
      </c>
      <c r="EP284" s="3" t="str">
        <f t="shared" si="25"/>
        <v/>
      </c>
      <c r="EQ284" s="3" t="str">
        <f t="shared" si="26"/>
        <v/>
      </c>
      <c r="ER284" s="3" t="str">
        <f t="shared" si="27"/>
        <v/>
      </c>
      <c r="ES284" s="4">
        <f t="shared" si="28"/>
        <v>0</v>
      </c>
      <c r="ET284" s="5">
        <f t="shared" si="22"/>
        <v>0</v>
      </c>
    </row>
    <row r="285" spans="1:150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2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3">
        <f>DAY(DN285)</f>
        <v>0</v>
      </c>
      <c r="EG285" s="3">
        <f>HOUR(DN285)</f>
        <v>0</v>
      </c>
      <c r="EH285" s="3">
        <f>MINUTE(DN285)</f>
        <v>0</v>
      </c>
      <c r="EI285" s="3">
        <f>SECOND(DN285)</f>
        <v>0</v>
      </c>
      <c r="EJ285" s="3" t="str">
        <f>IF(BW285="","",DAY(BW285))</f>
        <v/>
      </c>
      <c r="EK285" s="3" t="str">
        <f>IF(BW285="","",HOUR(BW285))</f>
        <v/>
      </c>
      <c r="EL285" s="3" t="str">
        <f>IF(BW285="","",MINUTE(BW285))</f>
        <v/>
      </c>
      <c r="EM285" s="3" t="str">
        <f>IF(BW285="","",SECOND(BW285))</f>
        <v/>
      </c>
      <c r="EN285" s="4">
        <f t="shared" si="23"/>
        <v>999</v>
      </c>
      <c r="EO285" s="3" t="str">
        <f t="shared" si="24"/>
        <v/>
      </c>
      <c r="EP285" s="3" t="str">
        <f t="shared" si="25"/>
        <v/>
      </c>
      <c r="EQ285" s="3" t="str">
        <f t="shared" si="26"/>
        <v/>
      </c>
      <c r="ER285" s="3" t="str">
        <f t="shared" si="27"/>
        <v/>
      </c>
      <c r="ES285" s="4">
        <f t="shared" si="28"/>
        <v>0</v>
      </c>
      <c r="ET285" s="5">
        <f t="shared" si="22"/>
        <v>0</v>
      </c>
    </row>
    <row r="286" spans="1:150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2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3">
        <f>DAY(DN286)</f>
        <v>0</v>
      </c>
      <c r="EG286" s="3">
        <f>HOUR(DN286)</f>
        <v>0</v>
      </c>
      <c r="EH286" s="3">
        <f>MINUTE(DN286)</f>
        <v>0</v>
      </c>
      <c r="EI286" s="3">
        <f>SECOND(DN286)</f>
        <v>0</v>
      </c>
      <c r="EJ286" s="3" t="str">
        <f>IF(BW286="","",DAY(BW286))</f>
        <v/>
      </c>
      <c r="EK286" s="3" t="str">
        <f>IF(BW286="","",HOUR(BW286))</f>
        <v/>
      </c>
      <c r="EL286" s="3" t="str">
        <f>IF(BW286="","",MINUTE(BW286))</f>
        <v/>
      </c>
      <c r="EM286" s="3" t="str">
        <f>IF(BW286="","",SECOND(BW286))</f>
        <v/>
      </c>
      <c r="EN286" s="4">
        <f t="shared" si="23"/>
        <v>999</v>
      </c>
      <c r="EO286" s="3" t="str">
        <f t="shared" si="24"/>
        <v/>
      </c>
      <c r="EP286" s="3" t="str">
        <f t="shared" si="25"/>
        <v/>
      </c>
      <c r="EQ286" s="3" t="str">
        <f t="shared" si="26"/>
        <v/>
      </c>
      <c r="ER286" s="3" t="str">
        <f t="shared" si="27"/>
        <v/>
      </c>
      <c r="ES286" s="4">
        <f t="shared" si="28"/>
        <v>0</v>
      </c>
      <c r="ET286" s="5">
        <f t="shared" si="22"/>
        <v>0</v>
      </c>
    </row>
    <row r="287" spans="1:150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2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3">
        <f>DAY(DN287)</f>
        <v>0</v>
      </c>
      <c r="EG287" s="3">
        <f>HOUR(DN287)</f>
        <v>0</v>
      </c>
      <c r="EH287" s="3">
        <f>MINUTE(DN287)</f>
        <v>0</v>
      </c>
      <c r="EI287" s="3">
        <f>SECOND(DN287)</f>
        <v>0</v>
      </c>
      <c r="EJ287" s="3" t="str">
        <f>IF(BW287="","",DAY(BW287))</f>
        <v/>
      </c>
      <c r="EK287" s="3" t="str">
        <f>IF(BW287="","",HOUR(BW287))</f>
        <v/>
      </c>
      <c r="EL287" s="3" t="str">
        <f>IF(BW287="","",MINUTE(BW287))</f>
        <v/>
      </c>
      <c r="EM287" s="3" t="str">
        <f>IF(BW287="","",SECOND(BW287))</f>
        <v/>
      </c>
      <c r="EN287" s="4">
        <f t="shared" si="23"/>
        <v>999</v>
      </c>
      <c r="EO287" s="3" t="str">
        <f t="shared" si="24"/>
        <v/>
      </c>
      <c r="EP287" s="3" t="str">
        <f t="shared" si="25"/>
        <v/>
      </c>
      <c r="EQ287" s="3" t="str">
        <f t="shared" si="26"/>
        <v/>
      </c>
      <c r="ER287" s="3" t="str">
        <f t="shared" si="27"/>
        <v/>
      </c>
      <c r="ES287" s="4">
        <f t="shared" si="28"/>
        <v>0</v>
      </c>
      <c r="ET287" s="5">
        <f t="shared" si="22"/>
        <v>0</v>
      </c>
    </row>
    <row r="288" spans="1:150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2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3">
        <f>DAY(DN288)</f>
        <v>0</v>
      </c>
      <c r="EG288" s="3">
        <f>HOUR(DN288)</f>
        <v>0</v>
      </c>
      <c r="EH288" s="3">
        <f>MINUTE(DN288)</f>
        <v>0</v>
      </c>
      <c r="EI288" s="3">
        <f>SECOND(DN288)</f>
        <v>0</v>
      </c>
      <c r="EJ288" s="3" t="str">
        <f>IF(BW288="","",DAY(BW288))</f>
        <v/>
      </c>
      <c r="EK288" s="3" t="str">
        <f>IF(BW288="","",HOUR(BW288))</f>
        <v/>
      </c>
      <c r="EL288" s="3" t="str">
        <f>IF(BW288="","",MINUTE(BW288))</f>
        <v/>
      </c>
      <c r="EM288" s="3" t="str">
        <f>IF(BW288="","",SECOND(BW288))</f>
        <v/>
      </c>
      <c r="EN288" s="4">
        <f t="shared" si="23"/>
        <v>999</v>
      </c>
      <c r="EO288" s="3" t="str">
        <f t="shared" si="24"/>
        <v/>
      </c>
      <c r="EP288" s="3" t="str">
        <f t="shared" si="25"/>
        <v/>
      </c>
      <c r="EQ288" s="3" t="str">
        <f t="shared" si="26"/>
        <v/>
      </c>
      <c r="ER288" s="3" t="str">
        <f t="shared" si="27"/>
        <v/>
      </c>
      <c r="ES288" s="4">
        <f t="shared" si="28"/>
        <v>0</v>
      </c>
      <c r="ET288" s="5">
        <f t="shared" si="22"/>
        <v>0</v>
      </c>
    </row>
    <row r="289" spans="1:150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2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3">
        <f>DAY(DN289)</f>
        <v>0</v>
      </c>
      <c r="EG289" s="3">
        <f>HOUR(DN289)</f>
        <v>0</v>
      </c>
      <c r="EH289" s="3">
        <f>MINUTE(DN289)</f>
        <v>0</v>
      </c>
      <c r="EI289" s="3">
        <f>SECOND(DN289)</f>
        <v>0</v>
      </c>
      <c r="EJ289" s="3" t="str">
        <f>IF(BW289="","",DAY(BW289))</f>
        <v/>
      </c>
      <c r="EK289" s="3" t="str">
        <f>IF(BW289="","",HOUR(BW289))</f>
        <v/>
      </c>
      <c r="EL289" s="3" t="str">
        <f>IF(BW289="","",MINUTE(BW289))</f>
        <v/>
      </c>
      <c r="EM289" s="3" t="str">
        <f>IF(BW289="","",SECOND(BW289))</f>
        <v/>
      </c>
      <c r="EN289" s="4">
        <f t="shared" si="23"/>
        <v>999</v>
      </c>
      <c r="EO289" s="3" t="str">
        <f t="shared" si="24"/>
        <v/>
      </c>
      <c r="EP289" s="3" t="str">
        <f t="shared" si="25"/>
        <v/>
      </c>
      <c r="EQ289" s="3" t="str">
        <f t="shared" si="26"/>
        <v/>
      </c>
      <c r="ER289" s="3" t="str">
        <f t="shared" si="27"/>
        <v/>
      </c>
      <c r="ES289" s="4">
        <f t="shared" si="28"/>
        <v>0</v>
      </c>
      <c r="ET289" s="5">
        <f t="shared" si="22"/>
        <v>0</v>
      </c>
    </row>
    <row r="290" spans="1:150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2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3">
        <f>DAY(DN290)</f>
        <v>0</v>
      </c>
      <c r="EG290" s="3">
        <f>HOUR(DN290)</f>
        <v>0</v>
      </c>
      <c r="EH290" s="3">
        <f>MINUTE(DN290)</f>
        <v>0</v>
      </c>
      <c r="EI290" s="3">
        <f>SECOND(DN290)</f>
        <v>0</v>
      </c>
      <c r="EJ290" s="3" t="str">
        <f>IF(BW290="","",DAY(BW290))</f>
        <v/>
      </c>
      <c r="EK290" s="3" t="str">
        <f>IF(BW290="","",HOUR(BW290))</f>
        <v/>
      </c>
      <c r="EL290" s="3" t="str">
        <f>IF(BW290="","",MINUTE(BW290))</f>
        <v/>
      </c>
      <c r="EM290" s="3" t="str">
        <f>IF(BW290="","",SECOND(BW290))</f>
        <v/>
      </c>
      <c r="EN290" s="4">
        <f t="shared" si="23"/>
        <v>999</v>
      </c>
      <c r="EO290" s="3" t="str">
        <f t="shared" si="24"/>
        <v/>
      </c>
      <c r="EP290" s="3" t="str">
        <f t="shared" si="25"/>
        <v/>
      </c>
      <c r="EQ290" s="3" t="str">
        <f t="shared" si="26"/>
        <v/>
      </c>
      <c r="ER290" s="3" t="str">
        <f t="shared" si="27"/>
        <v/>
      </c>
      <c r="ES290" s="4">
        <f t="shared" si="28"/>
        <v>0</v>
      </c>
      <c r="ET290" s="5">
        <f t="shared" si="22"/>
        <v>0</v>
      </c>
    </row>
    <row r="291" spans="1:150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2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3">
        <f>DAY(DN291)</f>
        <v>0</v>
      </c>
      <c r="EG291" s="3">
        <f>HOUR(DN291)</f>
        <v>0</v>
      </c>
      <c r="EH291" s="3">
        <f>MINUTE(DN291)</f>
        <v>0</v>
      </c>
      <c r="EI291" s="3">
        <f>SECOND(DN291)</f>
        <v>0</v>
      </c>
      <c r="EJ291" s="3" t="str">
        <f>IF(BW291="","",DAY(BW291))</f>
        <v/>
      </c>
      <c r="EK291" s="3" t="str">
        <f>IF(BW291="","",HOUR(BW291))</f>
        <v/>
      </c>
      <c r="EL291" s="3" t="str">
        <f>IF(BW291="","",MINUTE(BW291))</f>
        <v/>
      </c>
      <c r="EM291" s="3" t="str">
        <f>IF(BW291="","",SECOND(BW291))</f>
        <v/>
      </c>
      <c r="EN291" s="4">
        <f t="shared" si="23"/>
        <v>999</v>
      </c>
      <c r="EO291" s="3" t="str">
        <f t="shared" si="24"/>
        <v/>
      </c>
      <c r="EP291" s="3" t="str">
        <f t="shared" si="25"/>
        <v/>
      </c>
      <c r="EQ291" s="3" t="str">
        <f t="shared" si="26"/>
        <v/>
      </c>
      <c r="ER291" s="3" t="str">
        <f t="shared" si="27"/>
        <v/>
      </c>
      <c r="ES291" s="4">
        <f t="shared" si="28"/>
        <v>0</v>
      </c>
      <c r="ET291" s="5">
        <f t="shared" si="22"/>
        <v>0</v>
      </c>
    </row>
    <row r="292" spans="1:150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2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3">
        <f>DAY(DN292)</f>
        <v>0</v>
      </c>
      <c r="EG292" s="3">
        <f>HOUR(DN292)</f>
        <v>0</v>
      </c>
      <c r="EH292" s="3">
        <f>MINUTE(DN292)</f>
        <v>0</v>
      </c>
      <c r="EI292" s="3">
        <f>SECOND(DN292)</f>
        <v>0</v>
      </c>
      <c r="EJ292" s="3" t="str">
        <f>IF(BW292="","",DAY(BW292))</f>
        <v/>
      </c>
      <c r="EK292" s="3" t="str">
        <f>IF(BW292="","",HOUR(BW292))</f>
        <v/>
      </c>
      <c r="EL292" s="3" t="str">
        <f>IF(BW292="","",MINUTE(BW292))</f>
        <v/>
      </c>
      <c r="EM292" s="3" t="str">
        <f>IF(BW292="","",SECOND(BW292))</f>
        <v/>
      </c>
      <c r="EN292" s="4">
        <f t="shared" si="23"/>
        <v>999</v>
      </c>
      <c r="EO292" s="3" t="str">
        <f t="shared" si="24"/>
        <v/>
      </c>
      <c r="EP292" s="3" t="str">
        <f t="shared" si="25"/>
        <v/>
      </c>
      <c r="EQ292" s="3" t="str">
        <f t="shared" si="26"/>
        <v/>
      </c>
      <c r="ER292" s="3" t="str">
        <f t="shared" si="27"/>
        <v/>
      </c>
      <c r="ES292" s="4">
        <f t="shared" si="28"/>
        <v>0</v>
      </c>
      <c r="ET292" s="5">
        <f t="shared" si="22"/>
        <v>0</v>
      </c>
    </row>
    <row r="293" spans="1:150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2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3">
        <f>DAY(DN293)</f>
        <v>0</v>
      </c>
      <c r="EG293" s="3">
        <f>HOUR(DN293)</f>
        <v>0</v>
      </c>
      <c r="EH293" s="3">
        <f>MINUTE(DN293)</f>
        <v>0</v>
      </c>
      <c r="EI293" s="3">
        <f>SECOND(DN293)</f>
        <v>0</v>
      </c>
      <c r="EJ293" s="3" t="str">
        <f>IF(BW293="","",DAY(BW293))</f>
        <v/>
      </c>
      <c r="EK293" s="3" t="str">
        <f>IF(BW293="","",HOUR(BW293))</f>
        <v/>
      </c>
      <c r="EL293" s="3" t="str">
        <f>IF(BW293="","",MINUTE(BW293))</f>
        <v/>
      </c>
      <c r="EM293" s="3" t="str">
        <f>IF(BW293="","",SECOND(BW293))</f>
        <v/>
      </c>
      <c r="EN293" s="4">
        <f t="shared" si="23"/>
        <v>999</v>
      </c>
      <c r="EO293" s="3" t="str">
        <f t="shared" si="24"/>
        <v/>
      </c>
      <c r="EP293" s="3" t="str">
        <f t="shared" si="25"/>
        <v/>
      </c>
      <c r="EQ293" s="3" t="str">
        <f t="shared" si="26"/>
        <v/>
      </c>
      <c r="ER293" s="3" t="str">
        <f t="shared" si="27"/>
        <v/>
      </c>
      <c r="ES293" s="4">
        <f t="shared" si="28"/>
        <v>0</v>
      </c>
      <c r="ET293" s="5">
        <f t="shared" si="22"/>
        <v>0</v>
      </c>
    </row>
    <row r="294" spans="1:150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2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3">
        <f>DAY(DN294)</f>
        <v>0</v>
      </c>
      <c r="EG294" s="3">
        <f>HOUR(DN294)</f>
        <v>0</v>
      </c>
      <c r="EH294" s="3">
        <f>MINUTE(DN294)</f>
        <v>0</v>
      </c>
      <c r="EI294" s="3">
        <f>SECOND(DN294)</f>
        <v>0</v>
      </c>
      <c r="EJ294" s="3" t="str">
        <f>IF(BW294="","",DAY(BW294))</f>
        <v/>
      </c>
      <c r="EK294" s="3" t="str">
        <f>IF(BW294="","",HOUR(BW294))</f>
        <v/>
      </c>
      <c r="EL294" s="3" t="str">
        <f>IF(BW294="","",MINUTE(BW294))</f>
        <v/>
      </c>
      <c r="EM294" s="3" t="str">
        <f>IF(BW294="","",SECOND(BW294))</f>
        <v/>
      </c>
      <c r="EN294" s="4">
        <f t="shared" si="23"/>
        <v>999</v>
      </c>
      <c r="EO294" s="3" t="str">
        <f t="shared" si="24"/>
        <v/>
      </c>
      <c r="EP294" s="3" t="str">
        <f t="shared" si="25"/>
        <v/>
      </c>
      <c r="EQ294" s="3" t="str">
        <f t="shared" si="26"/>
        <v/>
      </c>
      <c r="ER294" s="3" t="str">
        <f t="shared" si="27"/>
        <v/>
      </c>
      <c r="ES294" s="4">
        <f t="shared" si="28"/>
        <v>0</v>
      </c>
      <c r="ET294" s="5">
        <f t="shared" si="22"/>
        <v>0</v>
      </c>
    </row>
    <row r="295" spans="1:150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2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3">
        <f>DAY(DN295)</f>
        <v>0</v>
      </c>
      <c r="EG295" s="3">
        <f>HOUR(DN295)</f>
        <v>0</v>
      </c>
      <c r="EH295" s="3">
        <f>MINUTE(DN295)</f>
        <v>0</v>
      </c>
      <c r="EI295" s="3">
        <f>SECOND(DN295)</f>
        <v>0</v>
      </c>
      <c r="EJ295" s="3" t="str">
        <f>IF(BW295="","",DAY(BW295))</f>
        <v/>
      </c>
      <c r="EK295" s="3" t="str">
        <f>IF(BW295="","",HOUR(BW295))</f>
        <v/>
      </c>
      <c r="EL295" s="3" t="str">
        <f>IF(BW295="","",MINUTE(BW295))</f>
        <v/>
      </c>
      <c r="EM295" s="3" t="str">
        <f>IF(BW295="","",SECOND(BW295))</f>
        <v/>
      </c>
      <c r="EN295" s="4">
        <f t="shared" si="23"/>
        <v>999</v>
      </c>
      <c r="EO295" s="3" t="str">
        <f t="shared" si="24"/>
        <v/>
      </c>
      <c r="EP295" s="3" t="str">
        <f t="shared" si="25"/>
        <v/>
      </c>
      <c r="EQ295" s="3" t="str">
        <f t="shared" si="26"/>
        <v/>
      </c>
      <c r="ER295" s="3" t="str">
        <f t="shared" si="27"/>
        <v/>
      </c>
      <c r="ES295" s="4">
        <f t="shared" si="28"/>
        <v>0</v>
      </c>
      <c r="ET295" s="5">
        <f t="shared" si="22"/>
        <v>0</v>
      </c>
    </row>
    <row r="296" spans="1:150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2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3">
        <f>DAY(DN296)</f>
        <v>0</v>
      </c>
      <c r="EG296" s="3">
        <f>HOUR(DN296)</f>
        <v>0</v>
      </c>
      <c r="EH296" s="3">
        <f>MINUTE(DN296)</f>
        <v>0</v>
      </c>
      <c r="EI296" s="3">
        <f>SECOND(DN296)</f>
        <v>0</v>
      </c>
      <c r="EJ296" s="3" t="str">
        <f>IF(BW296="","",DAY(BW296))</f>
        <v/>
      </c>
      <c r="EK296" s="3" t="str">
        <f>IF(BW296="","",HOUR(BW296))</f>
        <v/>
      </c>
      <c r="EL296" s="3" t="str">
        <f>IF(BW296="","",MINUTE(BW296))</f>
        <v/>
      </c>
      <c r="EM296" s="3" t="str">
        <f>IF(BW296="","",SECOND(BW296))</f>
        <v/>
      </c>
      <c r="EN296" s="4">
        <f t="shared" si="23"/>
        <v>999</v>
      </c>
      <c r="EO296" s="3" t="str">
        <f t="shared" si="24"/>
        <v/>
      </c>
      <c r="EP296" s="3" t="str">
        <f t="shared" si="25"/>
        <v/>
      </c>
      <c r="EQ296" s="3" t="str">
        <f t="shared" si="26"/>
        <v/>
      </c>
      <c r="ER296" s="3" t="str">
        <f t="shared" si="27"/>
        <v/>
      </c>
      <c r="ES296" s="4">
        <f t="shared" si="28"/>
        <v>0</v>
      </c>
      <c r="ET296" s="5">
        <f t="shared" si="22"/>
        <v>0</v>
      </c>
    </row>
    <row r="297" spans="1:150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2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3">
        <f>DAY(DN297)</f>
        <v>0</v>
      </c>
      <c r="EG297" s="3">
        <f>HOUR(DN297)</f>
        <v>0</v>
      </c>
      <c r="EH297" s="3">
        <f>MINUTE(DN297)</f>
        <v>0</v>
      </c>
      <c r="EI297" s="3">
        <f>SECOND(DN297)</f>
        <v>0</v>
      </c>
      <c r="EJ297" s="3" t="str">
        <f>IF(BW297="","",DAY(BW297))</f>
        <v/>
      </c>
      <c r="EK297" s="3" t="str">
        <f>IF(BW297="","",HOUR(BW297))</f>
        <v/>
      </c>
      <c r="EL297" s="3" t="str">
        <f>IF(BW297="","",MINUTE(BW297))</f>
        <v/>
      </c>
      <c r="EM297" s="3" t="str">
        <f>IF(BW297="","",SECOND(BW297))</f>
        <v/>
      </c>
      <c r="EN297" s="4">
        <f t="shared" si="23"/>
        <v>999</v>
      </c>
      <c r="EO297" s="3" t="str">
        <f t="shared" si="24"/>
        <v/>
      </c>
      <c r="EP297" s="3" t="str">
        <f t="shared" si="25"/>
        <v/>
      </c>
      <c r="EQ297" s="3" t="str">
        <f t="shared" si="26"/>
        <v/>
      </c>
      <c r="ER297" s="3" t="str">
        <f t="shared" si="27"/>
        <v/>
      </c>
      <c r="ES297" s="4">
        <f t="shared" si="28"/>
        <v>0</v>
      </c>
      <c r="ET297" s="5">
        <f t="shared" si="22"/>
        <v>0</v>
      </c>
    </row>
    <row r="298" spans="1:150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2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3">
        <f>DAY(DN298)</f>
        <v>0</v>
      </c>
      <c r="EG298" s="3">
        <f>HOUR(DN298)</f>
        <v>0</v>
      </c>
      <c r="EH298" s="3">
        <f>MINUTE(DN298)</f>
        <v>0</v>
      </c>
      <c r="EI298" s="3">
        <f>SECOND(DN298)</f>
        <v>0</v>
      </c>
      <c r="EJ298" s="3" t="str">
        <f>IF(BW298="","",DAY(BW298))</f>
        <v/>
      </c>
      <c r="EK298" s="3" t="str">
        <f>IF(BW298="","",HOUR(BW298))</f>
        <v/>
      </c>
      <c r="EL298" s="3" t="str">
        <f>IF(BW298="","",MINUTE(BW298))</f>
        <v/>
      </c>
      <c r="EM298" s="3" t="str">
        <f>IF(BW298="","",SECOND(BW298))</f>
        <v/>
      </c>
      <c r="EN298" s="4">
        <f t="shared" si="23"/>
        <v>999</v>
      </c>
      <c r="EO298" s="3" t="str">
        <f t="shared" si="24"/>
        <v/>
      </c>
      <c r="EP298" s="3" t="str">
        <f t="shared" si="25"/>
        <v/>
      </c>
      <c r="EQ298" s="3" t="str">
        <f t="shared" si="26"/>
        <v/>
      </c>
      <c r="ER298" s="3" t="str">
        <f t="shared" si="27"/>
        <v/>
      </c>
      <c r="ES298" s="4">
        <f t="shared" si="28"/>
        <v>0</v>
      </c>
      <c r="ET298" s="5">
        <f t="shared" si="22"/>
        <v>0</v>
      </c>
    </row>
    <row r="299" spans="1:150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2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3">
        <f>DAY(DN299)</f>
        <v>0</v>
      </c>
      <c r="EG299" s="3">
        <f>HOUR(DN299)</f>
        <v>0</v>
      </c>
      <c r="EH299" s="3">
        <f>MINUTE(DN299)</f>
        <v>0</v>
      </c>
      <c r="EI299" s="3">
        <f>SECOND(DN299)</f>
        <v>0</v>
      </c>
      <c r="EJ299" s="3" t="str">
        <f>IF(BW299="","",DAY(BW299))</f>
        <v/>
      </c>
      <c r="EK299" s="3" t="str">
        <f>IF(BW299="","",HOUR(BW299))</f>
        <v/>
      </c>
      <c r="EL299" s="3" t="str">
        <f>IF(BW299="","",MINUTE(BW299))</f>
        <v/>
      </c>
      <c r="EM299" s="3" t="str">
        <f>IF(BW299="","",SECOND(BW299))</f>
        <v/>
      </c>
      <c r="EN299" s="4">
        <f t="shared" si="23"/>
        <v>999</v>
      </c>
      <c r="EO299" s="3" t="str">
        <f t="shared" si="24"/>
        <v/>
      </c>
      <c r="EP299" s="3" t="str">
        <f t="shared" si="25"/>
        <v/>
      </c>
      <c r="EQ299" s="3" t="str">
        <f t="shared" si="26"/>
        <v/>
      </c>
      <c r="ER299" s="3" t="str">
        <f t="shared" si="27"/>
        <v/>
      </c>
      <c r="ES299" s="4">
        <f t="shared" si="28"/>
        <v>0</v>
      </c>
      <c r="ET299" s="5">
        <f t="shared" si="22"/>
        <v>0</v>
      </c>
    </row>
    <row r="300" spans="1:150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2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3">
        <f>DAY(DN300)</f>
        <v>0</v>
      </c>
      <c r="EG300" s="3">
        <f>HOUR(DN300)</f>
        <v>0</v>
      </c>
      <c r="EH300" s="3">
        <f>MINUTE(DN300)</f>
        <v>0</v>
      </c>
      <c r="EI300" s="3">
        <f>SECOND(DN300)</f>
        <v>0</v>
      </c>
      <c r="EJ300" s="3" t="str">
        <f>IF(BW300="","",DAY(BW300))</f>
        <v/>
      </c>
      <c r="EK300" s="3" t="str">
        <f>IF(BW300="","",HOUR(BW300))</f>
        <v/>
      </c>
      <c r="EL300" s="3" t="str">
        <f>IF(BW300="","",MINUTE(BW300))</f>
        <v/>
      </c>
      <c r="EM300" s="3" t="str">
        <f>IF(BW300="","",SECOND(BW300))</f>
        <v/>
      </c>
      <c r="EN300" s="4">
        <f t="shared" si="23"/>
        <v>999</v>
      </c>
      <c r="EO300" s="3" t="str">
        <f t="shared" si="24"/>
        <v/>
      </c>
      <c r="EP300" s="3" t="str">
        <f t="shared" si="25"/>
        <v/>
      </c>
      <c r="EQ300" s="3" t="str">
        <f t="shared" si="26"/>
        <v/>
      </c>
      <c r="ER300" s="3" t="str">
        <f t="shared" si="27"/>
        <v/>
      </c>
      <c r="ES300" s="4">
        <f t="shared" si="28"/>
        <v>0</v>
      </c>
      <c r="ET300" s="5">
        <f t="shared" si="22"/>
        <v>0</v>
      </c>
    </row>
    <row r="301" spans="1:150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2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3">
        <f>DAY(DN301)</f>
        <v>0</v>
      </c>
      <c r="EG301" s="3">
        <f>HOUR(DN301)</f>
        <v>0</v>
      </c>
      <c r="EH301" s="3">
        <f>MINUTE(DN301)</f>
        <v>0</v>
      </c>
      <c r="EI301" s="3">
        <f>SECOND(DN301)</f>
        <v>0</v>
      </c>
      <c r="EJ301" s="3" t="str">
        <f>IF(BW301="","",DAY(BW301))</f>
        <v/>
      </c>
      <c r="EK301" s="3" t="str">
        <f>IF(BW301="","",HOUR(BW301))</f>
        <v/>
      </c>
      <c r="EL301" s="3" t="str">
        <f>IF(BW301="","",MINUTE(BW301))</f>
        <v/>
      </c>
      <c r="EM301" s="3" t="str">
        <f>IF(BW301="","",SECOND(BW301))</f>
        <v/>
      </c>
      <c r="EN301" s="4">
        <f t="shared" si="23"/>
        <v>999</v>
      </c>
      <c r="EO301" s="3" t="str">
        <f t="shared" si="24"/>
        <v/>
      </c>
      <c r="EP301" s="3" t="str">
        <f t="shared" si="25"/>
        <v/>
      </c>
      <c r="EQ301" s="3" t="str">
        <f t="shared" si="26"/>
        <v/>
      </c>
      <c r="ER301" s="3" t="str">
        <f t="shared" si="27"/>
        <v/>
      </c>
      <c r="ES301" s="4">
        <f t="shared" si="28"/>
        <v>0</v>
      </c>
      <c r="ET301" s="5">
        <f t="shared" si="22"/>
        <v>0</v>
      </c>
    </row>
    <row r="302" spans="1:150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2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3">
        <f>DAY(DN302)</f>
        <v>0</v>
      </c>
      <c r="EG302" s="3">
        <f>HOUR(DN302)</f>
        <v>0</v>
      </c>
      <c r="EH302" s="3">
        <f>MINUTE(DN302)</f>
        <v>0</v>
      </c>
      <c r="EI302" s="3">
        <f>SECOND(DN302)</f>
        <v>0</v>
      </c>
      <c r="EJ302" s="3" t="str">
        <f>IF(BW302="","",DAY(BW302))</f>
        <v/>
      </c>
      <c r="EK302" s="3" t="str">
        <f>IF(BW302="","",HOUR(BW302))</f>
        <v/>
      </c>
      <c r="EL302" s="3" t="str">
        <f>IF(BW302="","",MINUTE(BW302))</f>
        <v/>
      </c>
      <c r="EM302" s="3" t="str">
        <f>IF(BW302="","",SECOND(BW302))</f>
        <v/>
      </c>
      <c r="EN302" s="4">
        <f t="shared" si="23"/>
        <v>999</v>
      </c>
      <c r="EO302" s="3" t="str">
        <f t="shared" si="24"/>
        <v/>
      </c>
      <c r="EP302" s="3" t="str">
        <f t="shared" si="25"/>
        <v/>
      </c>
      <c r="EQ302" s="3" t="str">
        <f t="shared" si="26"/>
        <v/>
      </c>
      <c r="ER302" s="3" t="str">
        <f t="shared" si="27"/>
        <v/>
      </c>
      <c r="ES302" s="4">
        <f t="shared" si="28"/>
        <v>0</v>
      </c>
      <c r="ET302" s="5">
        <f t="shared" si="22"/>
        <v>0</v>
      </c>
    </row>
    <row r="303" spans="1:150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2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3">
        <f>DAY(DN303)</f>
        <v>0</v>
      </c>
      <c r="EG303" s="3">
        <f>HOUR(DN303)</f>
        <v>0</v>
      </c>
      <c r="EH303" s="3">
        <f>MINUTE(DN303)</f>
        <v>0</v>
      </c>
      <c r="EI303" s="3">
        <f>SECOND(DN303)</f>
        <v>0</v>
      </c>
      <c r="EJ303" s="3" t="str">
        <f>IF(BW303="","",DAY(BW303))</f>
        <v/>
      </c>
      <c r="EK303" s="3" t="str">
        <f>IF(BW303="","",HOUR(BW303))</f>
        <v/>
      </c>
      <c r="EL303" s="3" t="str">
        <f>IF(BW303="","",MINUTE(BW303))</f>
        <v/>
      </c>
      <c r="EM303" s="3" t="str">
        <f>IF(BW303="","",SECOND(BW303))</f>
        <v/>
      </c>
      <c r="EN303" s="4">
        <f t="shared" si="23"/>
        <v>999</v>
      </c>
      <c r="EO303" s="3" t="str">
        <f t="shared" si="24"/>
        <v/>
      </c>
      <c r="EP303" s="3" t="str">
        <f t="shared" si="25"/>
        <v/>
      </c>
      <c r="EQ303" s="3" t="str">
        <f t="shared" si="26"/>
        <v/>
      </c>
      <c r="ER303" s="3" t="str">
        <f t="shared" si="27"/>
        <v/>
      </c>
      <c r="ES303" s="4">
        <f t="shared" si="28"/>
        <v>0</v>
      </c>
      <c r="ET303" s="5">
        <f t="shared" si="22"/>
        <v>0</v>
      </c>
    </row>
    <row r="304" spans="1:150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2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3">
        <f>DAY(DN304)</f>
        <v>0</v>
      </c>
      <c r="EG304" s="3">
        <f>HOUR(DN304)</f>
        <v>0</v>
      </c>
      <c r="EH304" s="3">
        <f>MINUTE(DN304)</f>
        <v>0</v>
      </c>
      <c r="EI304" s="3">
        <f>SECOND(DN304)</f>
        <v>0</v>
      </c>
      <c r="EJ304" s="3" t="str">
        <f>IF(BW304="","",DAY(BW304))</f>
        <v/>
      </c>
      <c r="EK304" s="3" t="str">
        <f>IF(BW304="","",HOUR(BW304))</f>
        <v/>
      </c>
      <c r="EL304" s="3" t="str">
        <f>IF(BW304="","",MINUTE(BW304))</f>
        <v/>
      </c>
      <c r="EM304" s="3" t="str">
        <f>IF(BW304="","",SECOND(BW304))</f>
        <v/>
      </c>
      <c r="EN304" s="4">
        <f t="shared" si="23"/>
        <v>999</v>
      </c>
      <c r="EO304" s="3" t="str">
        <f t="shared" si="24"/>
        <v/>
      </c>
      <c r="EP304" s="3" t="str">
        <f t="shared" si="25"/>
        <v/>
      </c>
      <c r="EQ304" s="3" t="str">
        <f t="shared" si="26"/>
        <v/>
      </c>
      <c r="ER304" s="3" t="str">
        <f t="shared" si="27"/>
        <v/>
      </c>
      <c r="ES304" s="4">
        <f t="shared" si="28"/>
        <v>0</v>
      </c>
      <c r="ET304" s="5">
        <f t="shared" si="22"/>
        <v>0</v>
      </c>
    </row>
    <row r="305" spans="1:150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2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3">
        <f>DAY(DN305)</f>
        <v>0</v>
      </c>
      <c r="EG305" s="3">
        <f>HOUR(DN305)</f>
        <v>0</v>
      </c>
      <c r="EH305" s="3">
        <f>MINUTE(DN305)</f>
        <v>0</v>
      </c>
      <c r="EI305" s="3">
        <f>SECOND(DN305)</f>
        <v>0</v>
      </c>
      <c r="EJ305" s="3" t="str">
        <f>IF(BW305="","",DAY(BW305))</f>
        <v/>
      </c>
      <c r="EK305" s="3" t="str">
        <f>IF(BW305="","",HOUR(BW305))</f>
        <v/>
      </c>
      <c r="EL305" s="3" t="str">
        <f>IF(BW305="","",MINUTE(BW305))</f>
        <v/>
      </c>
      <c r="EM305" s="3" t="str">
        <f>IF(BW305="","",SECOND(BW305))</f>
        <v/>
      </c>
      <c r="EN305" s="4">
        <f t="shared" si="23"/>
        <v>999</v>
      </c>
      <c r="EO305" s="3" t="str">
        <f t="shared" si="24"/>
        <v/>
      </c>
      <c r="EP305" s="3" t="str">
        <f t="shared" si="25"/>
        <v/>
      </c>
      <c r="EQ305" s="3" t="str">
        <f t="shared" si="26"/>
        <v/>
      </c>
      <c r="ER305" s="3" t="str">
        <f t="shared" si="27"/>
        <v/>
      </c>
      <c r="ES305" s="4">
        <f t="shared" si="28"/>
        <v>0</v>
      </c>
      <c r="ET305" s="5">
        <f t="shared" si="22"/>
        <v>0</v>
      </c>
    </row>
    <row r="306" spans="1:150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2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3">
        <f>DAY(DN306)</f>
        <v>0</v>
      </c>
      <c r="EG306" s="3">
        <f>HOUR(DN306)</f>
        <v>0</v>
      </c>
      <c r="EH306" s="3">
        <f>MINUTE(DN306)</f>
        <v>0</v>
      </c>
      <c r="EI306" s="3">
        <f>SECOND(DN306)</f>
        <v>0</v>
      </c>
      <c r="EJ306" s="3" t="str">
        <f>IF(BW306="","",DAY(BW306))</f>
        <v/>
      </c>
      <c r="EK306" s="3" t="str">
        <f>IF(BW306="","",HOUR(BW306))</f>
        <v/>
      </c>
      <c r="EL306" s="3" t="str">
        <f>IF(BW306="","",MINUTE(BW306))</f>
        <v/>
      </c>
      <c r="EM306" s="3" t="str">
        <f>IF(BW306="","",SECOND(BW306))</f>
        <v/>
      </c>
      <c r="EN306" s="4">
        <f t="shared" si="23"/>
        <v>999</v>
      </c>
      <c r="EO306" s="3" t="str">
        <f t="shared" si="24"/>
        <v/>
      </c>
      <c r="EP306" s="3" t="str">
        <f t="shared" si="25"/>
        <v/>
      </c>
      <c r="EQ306" s="3" t="str">
        <f t="shared" si="26"/>
        <v/>
      </c>
      <c r="ER306" s="3" t="str">
        <f t="shared" si="27"/>
        <v/>
      </c>
      <c r="ES306" s="4">
        <f t="shared" si="28"/>
        <v>0</v>
      </c>
      <c r="ET306" s="5">
        <f t="shared" si="22"/>
        <v>0</v>
      </c>
    </row>
    <row r="307" spans="1:150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2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3">
        <f>DAY(DN307)</f>
        <v>0</v>
      </c>
      <c r="EG307" s="3">
        <f>HOUR(DN307)</f>
        <v>0</v>
      </c>
      <c r="EH307" s="3">
        <f>MINUTE(DN307)</f>
        <v>0</v>
      </c>
      <c r="EI307" s="3">
        <f>SECOND(DN307)</f>
        <v>0</v>
      </c>
      <c r="EJ307" s="3" t="str">
        <f>IF(BW307="","",DAY(BW307))</f>
        <v/>
      </c>
      <c r="EK307" s="3" t="str">
        <f>IF(BW307="","",HOUR(BW307))</f>
        <v/>
      </c>
      <c r="EL307" s="3" t="str">
        <f>IF(BW307="","",MINUTE(BW307))</f>
        <v/>
      </c>
      <c r="EM307" s="3" t="str">
        <f>IF(BW307="","",SECOND(BW307))</f>
        <v/>
      </c>
      <c r="EN307" s="4">
        <f t="shared" si="23"/>
        <v>999</v>
      </c>
      <c r="EO307" s="3" t="str">
        <f t="shared" si="24"/>
        <v/>
      </c>
      <c r="EP307" s="3" t="str">
        <f t="shared" si="25"/>
        <v/>
      </c>
      <c r="EQ307" s="3" t="str">
        <f t="shared" si="26"/>
        <v/>
      </c>
      <c r="ER307" s="3" t="str">
        <f t="shared" si="27"/>
        <v/>
      </c>
      <c r="ES307" s="4">
        <f t="shared" si="28"/>
        <v>0</v>
      </c>
      <c r="ET307" s="5">
        <f t="shared" si="22"/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承認（不備ある）一覧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r3pc</dc:creator>
  <cp:lastModifiedBy>Saito Kosaku (齋藤 幸作)</cp:lastModifiedBy>
  <dcterms:created xsi:type="dcterms:W3CDTF">2024-12-31T21:00:25Z</dcterms:created>
  <dcterms:modified xsi:type="dcterms:W3CDTF">2025-01-08T05:57:53Z</dcterms:modified>
</cp:coreProperties>
</file>